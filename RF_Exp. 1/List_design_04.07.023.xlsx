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Κατερίνα\Nextcloud\Experiment_1\RF_Exp. 1\"/>
    </mc:Choice>
  </mc:AlternateContent>
  <xr:revisionPtr revIDLastSave="0" documentId="13_ncr:1_{FA59E1B6-3C74-482A-99AD-D77C05756996}" xr6:coauthVersionLast="47" xr6:coauthVersionMax="47" xr10:uidLastSave="{00000000-0000-0000-0000-000000000000}"/>
  <bookViews>
    <workbookView xWindow="-108" yWindow="492" windowWidth="23256" windowHeight="12576" firstSheet="8" activeTab="9" xr2:uid="{00000000-000D-0000-FFFF-FFFF00000000}"/>
  </bookViews>
  <sheets>
    <sheet name="Sheet2" sheetId="2" r:id="rId1"/>
    <sheet name="Sheet6" sheetId="11" r:id="rId2"/>
    <sheet name="Sheet3" sheetId="3" r:id="rId3"/>
    <sheet name="Sheet4" sheetId="8" r:id="rId4"/>
    <sheet name="List1" sheetId="4" r:id="rId5"/>
    <sheet name="List2" sheetId="5" r:id="rId6"/>
    <sheet name="List3" sheetId="6" r:id="rId7"/>
    <sheet name="List4" sheetId="7" r:id="rId8"/>
    <sheet name="22.06_NT_fillers" sheetId="10" r:id="rId9"/>
    <sheet name="Prev_mod_sameSPEAK_prev_not_T" sheetId="70" r:id="rId10"/>
    <sheet name="Prev_mod_sameTYPE_prev_not T" sheetId="72" r:id="rId11"/>
    <sheet name="Prev_mod_difTYPE_prev_not T" sheetId="75" r:id="rId12"/>
    <sheet name="Prev_mod_difSPEAK_prev_not T" sheetId="74" r:id="rId13"/>
    <sheet name="Sheet38" sheetId="79" r:id="rId14"/>
    <sheet name="List_05.07.023" sheetId="14" r:id="rId15"/>
    <sheet name="Pivot_Tables" sheetId="53" r:id="rId16"/>
  </sheets>
  <calcPr calcId="191029"/>
  <pivotCaches>
    <pivotCache cacheId="1" r:id="rId17"/>
    <pivotCache cacheId="3" r:id="rId18"/>
    <pivotCache cacheId="6" r:id="rId19"/>
    <pivotCache cacheId="21" r:id="rId2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5" i="14" l="1"/>
  <c r="K95" i="14"/>
  <c r="L95" i="14"/>
  <c r="M95" i="14"/>
  <c r="J351" i="14"/>
  <c r="K351" i="14"/>
  <c r="L351" i="14"/>
  <c r="M351" i="14"/>
  <c r="J145" i="14"/>
  <c r="K145" i="14"/>
  <c r="L145" i="14"/>
  <c r="M145" i="14"/>
  <c r="J131" i="14"/>
  <c r="K131" i="14"/>
  <c r="L131" i="14"/>
  <c r="M131" i="14"/>
  <c r="J205" i="14"/>
  <c r="K205" i="14"/>
  <c r="L205" i="14"/>
  <c r="M205" i="14"/>
  <c r="J174" i="14"/>
  <c r="K174" i="14"/>
  <c r="L174" i="14"/>
  <c r="M174" i="14"/>
  <c r="J73" i="14"/>
  <c r="K73" i="14"/>
  <c r="L73" i="14"/>
  <c r="M73" i="14"/>
  <c r="J52" i="14"/>
  <c r="K52" i="14"/>
  <c r="L52" i="14"/>
  <c r="M52" i="14"/>
  <c r="J223" i="14"/>
  <c r="K223" i="14"/>
  <c r="L223" i="14"/>
  <c r="M223" i="14"/>
  <c r="J9" i="14"/>
  <c r="K9" i="14"/>
  <c r="L9" i="14"/>
  <c r="M9" i="14"/>
  <c r="J303" i="14"/>
  <c r="K303" i="14"/>
  <c r="L303" i="14"/>
  <c r="M303" i="14"/>
  <c r="J383" i="14"/>
  <c r="K383" i="14"/>
  <c r="L383" i="14"/>
  <c r="M383" i="14"/>
  <c r="J264" i="14"/>
  <c r="K264" i="14"/>
  <c r="L264" i="14"/>
  <c r="M264" i="14"/>
  <c r="J160" i="14"/>
  <c r="K160" i="14"/>
  <c r="L160" i="14"/>
  <c r="M160" i="14"/>
  <c r="J136" i="14"/>
  <c r="K136" i="14"/>
  <c r="L136" i="14"/>
  <c r="M136" i="14"/>
  <c r="J326" i="14"/>
  <c r="K326" i="14"/>
  <c r="L326" i="14"/>
  <c r="M326" i="14"/>
  <c r="J282" i="14"/>
  <c r="K282" i="14"/>
  <c r="L282" i="14"/>
  <c r="M282" i="14"/>
  <c r="J402" i="14"/>
  <c r="K402" i="14"/>
  <c r="L402" i="14"/>
  <c r="M402" i="14"/>
  <c r="J245" i="14"/>
  <c r="K245" i="14"/>
  <c r="L245" i="14"/>
  <c r="M245" i="14"/>
  <c r="J216" i="14"/>
  <c r="K216" i="14"/>
  <c r="L216" i="14"/>
  <c r="M216" i="14"/>
  <c r="J393" i="14"/>
  <c r="K393" i="14"/>
  <c r="L393" i="14"/>
  <c r="M393" i="14"/>
  <c r="J36" i="14"/>
  <c r="K36" i="14"/>
  <c r="L36" i="14"/>
  <c r="M36" i="14"/>
  <c r="J25" i="14"/>
  <c r="K25" i="14"/>
  <c r="L25" i="14"/>
  <c r="M25" i="14"/>
  <c r="K22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6" i="14"/>
  <c r="M27" i="14"/>
  <c r="M28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6" i="14"/>
  <c r="L27" i="14"/>
  <c r="L28" i="14"/>
  <c r="K10" i="14"/>
  <c r="K11" i="14"/>
  <c r="K12" i="14"/>
  <c r="K13" i="14"/>
  <c r="K14" i="14"/>
  <c r="K15" i="14"/>
  <c r="K16" i="14"/>
  <c r="K17" i="14"/>
  <c r="K18" i="14"/>
  <c r="K19" i="14"/>
  <c r="K20" i="14"/>
  <c r="K21" i="14"/>
  <c r="K23" i="14"/>
  <c r="K24" i="14"/>
  <c r="K26" i="14"/>
  <c r="K27" i="14"/>
  <c r="K28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6" i="14"/>
  <c r="J27" i="14"/>
  <c r="J28" i="14"/>
  <c r="M34" i="14"/>
  <c r="M35" i="14"/>
  <c r="M37" i="14"/>
  <c r="M38" i="14"/>
  <c r="M39" i="14"/>
  <c r="M40" i="14"/>
  <c r="M41" i="14"/>
  <c r="M42" i="14"/>
  <c r="M43" i="14"/>
  <c r="M44" i="14"/>
  <c r="M45" i="14"/>
  <c r="M46" i="14"/>
  <c r="M47" i="14"/>
  <c r="L34" i="14"/>
  <c r="L35" i="14"/>
  <c r="L37" i="14"/>
  <c r="L38" i="14"/>
  <c r="L39" i="14"/>
  <c r="L40" i="14"/>
  <c r="L41" i="14"/>
  <c r="L42" i="14"/>
  <c r="L43" i="14"/>
  <c r="L44" i="14"/>
  <c r="L45" i="14"/>
  <c r="K34" i="14"/>
  <c r="K35" i="14"/>
  <c r="K37" i="14"/>
  <c r="K38" i="14"/>
  <c r="K39" i="14"/>
  <c r="K40" i="14"/>
  <c r="K41" i="14"/>
  <c r="K42" i="14"/>
  <c r="K43" i="14"/>
  <c r="K44" i="14"/>
  <c r="K45" i="14"/>
  <c r="K46" i="14"/>
  <c r="J34" i="14"/>
  <c r="J35" i="14"/>
  <c r="J37" i="14"/>
  <c r="J38" i="14"/>
  <c r="J39" i="14"/>
  <c r="J40" i="14"/>
  <c r="J41" i="14"/>
  <c r="J42" i="14"/>
  <c r="J43" i="14"/>
  <c r="J44" i="14"/>
  <c r="J45" i="14"/>
  <c r="K2" i="14"/>
  <c r="K3" i="14"/>
  <c r="K4" i="14"/>
  <c r="K5" i="14"/>
  <c r="K6" i="14"/>
  <c r="K7" i="14"/>
  <c r="K8" i="14"/>
  <c r="K29" i="14"/>
  <c r="K30" i="14"/>
  <c r="K31" i="14"/>
  <c r="K32" i="14"/>
  <c r="K33" i="14"/>
  <c r="K47" i="14"/>
  <c r="K48" i="14"/>
  <c r="K49" i="14"/>
  <c r="K50" i="14"/>
  <c r="K51" i="14"/>
  <c r="K53" i="14"/>
  <c r="K54" i="14"/>
  <c r="K55" i="14"/>
  <c r="K56" i="14"/>
  <c r="K57" i="14"/>
  <c r="K58" i="14"/>
  <c r="K59" i="14"/>
  <c r="K60" i="14"/>
  <c r="K61" i="14"/>
  <c r="K62" i="14"/>
  <c r="K63" i="14"/>
  <c r="K64" i="14"/>
  <c r="K65" i="14"/>
  <c r="K66" i="14"/>
  <c r="K67" i="14"/>
  <c r="K68" i="14"/>
  <c r="K69" i="14"/>
  <c r="K70" i="14"/>
  <c r="K71" i="14"/>
  <c r="K72" i="14"/>
  <c r="K74" i="14"/>
  <c r="K75" i="14"/>
  <c r="K76" i="14"/>
  <c r="K77" i="14"/>
  <c r="K78" i="14"/>
  <c r="K79" i="14"/>
  <c r="K80" i="14"/>
  <c r="K81" i="14"/>
  <c r="K82" i="14"/>
  <c r="K83" i="14"/>
  <c r="K84" i="14"/>
  <c r="K85" i="14"/>
  <c r="K86" i="14"/>
  <c r="K87" i="14"/>
  <c r="K88" i="14"/>
  <c r="K89" i="14"/>
  <c r="K90" i="14"/>
  <c r="K91" i="14"/>
  <c r="K92" i="14"/>
  <c r="K93" i="14"/>
  <c r="K94" i="14"/>
  <c r="K96" i="14"/>
  <c r="K97" i="14"/>
  <c r="K98" i="14"/>
  <c r="K99" i="14"/>
  <c r="K100" i="14"/>
  <c r="K101" i="14"/>
  <c r="K102" i="14"/>
  <c r="K103" i="14"/>
  <c r="K104" i="14"/>
  <c r="K105" i="14"/>
  <c r="K106" i="14"/>
  <c r="K107" i="14"/>
  <c r="K108" i="14"/>
  <c r="K109" i="14"/>
  <c r="K110" i="14"/>
  <c r="K111" i="14"/>
  <c r="K112" i="14"/>
  <c r="K113" i="14"/>
  <c r="K114" i="14"/>
  <c r="K115" i="14"/>
  <c r="K116" i="14"/>
  <c r="K117" i="14"/>
  <c r="K118" i="14"/>
  <c r="K119" i="14"/>
  <c r="K120" i="14"/>
  <c r="K121" i="14"/>
  <c r="K122" i="14"/>
  <c r="K123" i="14"/>
  <c r="K124" i="14"/>
  <c r="K125" i="14"/>
  <c r="K126" i="14"/>
  <c r="K127" i="14"/>
  <c r="K128" i="14"/>
  <c r="K129" i="14"/>
  <c r="K130" i="14"/>
  <c r="K132" i="14"/>
  <c r="K133" i="14"/>
  <c r="K134" i="14"/>
  <c r="K135" i="14"/>
  <c r="K137" i="14"/>
  <c r="K138" i="14"/>
  <c r="K139" i="14"/>
  <c r="K140" i="14"/>
  <c r="K141" i="14"/>
  <c r="K142" i="14"/>
  <c r="K143" i="14"/>
  <c r="K144" i="14"/>
  <c r="K146" i="14"/>
  <c r="K147" i="14"/>
  <c r="K148" i="14"/>
  <c r="K149" i="14"/>
  <c r="K150" i="14"/>
  <c r="K151" i="14"/>
  <c r="K152" i="14"/>
  <c r="K153" i="14"/>
  <c r="K154" i="14"/>
  <c r="K155" i="14"/>
  <c r="K156" i="14"/>
  <c r="K157" i="14"/>
  <c r="K158" i="14"/>
  <c r="K159" i="14"/>
  <c r="K161" i="14"/>
  <c r="K162" i="14"/>
  <c r="K163" i="14"/>
  <c r="K164" i="14"/>
  <c r="K165" i="14"/>
  <c r="K166" i="14"/>
  <c r="K167" i="14"/>
  <c r="K168" i="14"/>
  <c r="K169" i="14"/>
  <c r="K170" i="14"/>
  <c r="K171" i="14"/>
  <c r="K172" i="14"/>
  <c r="K173" i="14"/>
  <c r="K175" i="14"/>
  <c r="K176" i="14"/>
  <c r="K177" i="14"/>
  <c r="K178" i="14"/>
  <c r="K179" i="14"/>
  <c r="K180" i="14"/>
  <c r="K181" i="14"/>
  <c r="K182" i="14"/>
  <c r="K183" i="14"/>
  <c r="K184" i="14"/>
  <c r="K185" i="14"/>
  <c r="K186" i="14"/>
  <c r="K187" i="14"/>
  <c r="K188" i="14"/>
  <c r="K189" i="14"/>
  <c r="K190" i="14"/>
  <c r="K191" i="14"/>
  <c r="K192" i="14"/>
  <c r="K193" i="14"/>
  <c r="K194" i="14"/>
  <c r="K195" i="14"/>
  <c r="K196" i="14"/>
  <c r="K197" i="14"/>
  <c r="K198" i="14"/>
  <c r="K199" i="14"/>
  <c r="K200" i="14"/>
  <c r="K201" i="14"/>
  <c r="K202" i="14"/>
  <c r="K203" i="14"/>
  <c r="K204" i="14"/>
  <c r="K206" i="14"/>
  <c r="K207" i="14"/>
  <c r="K208" i="14"/>
  <c r="K209" i="14"/>
  <c r="K210" i="14"/>
  <c r="K211" i="14"/>
  <c r="K212" i="14"/>
  <c r="K213" i="14"/>
  <c r="K214" i="14"/>
  <c r="K215" i="14"/>
  <c r="K217" i="14"/>
  <c r="K218" i="14"/>
  <c r="K219" i="14"/>
  <c r="K220" i="14"/>
  <c r="K221" i="14"/>
  <c r="K222" i="14"/>
  <c r="K224" i="14"/>
  <c r="K225" i="14"/>
  <c r="K226" i="14"/>
  <c r="K227" i="14"/>
  <c r="K228" i="14"/>
  <c r="K229" i="14"/>
  <c r="K230" i="14"/>
  <c r="K231" i="14"/>
  <c r="K232" i="14"/>
  <c r="K233" i="14"/>
  <c r="K234" i="14"/>
  <c r="K235" i="14"/>
  <c r="K236" i="14"/>
  <c r="K237" i="14"/>
  <c r="K238" i="14"/>
  <c r="K239" i="14"/>
  <c r="K240" i="14"/>
  <c r="K241" i="14"/>
  <c r="K242" i="14"/>
  <c r="K243" i="14"/>
  <c r="K244" i="14"/>
  <c r="K246" i="14"/>
  <c r="K247" i="14"/>
  <c r="K248" i="14"/>
  <c r="K249" i="14"/>
  <c r="K250" i="14"/>
  <c r="K251" i="14"/>
  <c r="K252" i="14"/>
  <c r="K253" i="14"/>
  <c r="K254" i="14"/>
  <c r="K255" i="14"/>
  <c r="K256" i="14"/>
  <c r="K257" i="14"/>
  <c r="K258" i="14"/>
  <c r="K259" i="14"/>
  <c r="K260" i="14"/>
  <c r="K261" i="14"/>
  <c r="K262" i="14"/>
  <c r="K263" i="14"/>
  <c r="K265" i="14"/>
  <c r="K266" i="14"/>
  <c r="K267" i="14"/>
  <c r="K268" i="14"/>
  <c r="K269" i="14"/>
  <c r="K270" i="14"/>
  <c r="K271" i="14"/>
  <c r="K272" i="14"/>
  <c r="K273" i="14"/>
  <c r="K274" i="14"/>
  <c r="K275" i="14"/>
  <c r="K276" i="14"/>
  <c r="K277" i="14"/>
  <c r="K278" i="14"/>
  <c r="K279" i="14"/>
  <c r="K280" i="14"/>
  <c r="K281" i="14"/>
  <c r="K283" i="14"/>
  <c r="K284" i="14"/>
  <c r="K285" i="14"/>
  <c r="K286" i="14"/>
  <c r="K287" i="14"/>
  <c r="K288" i="14"/>
  <c r="K289" i="14"/>
  <c r="K290" i="14"/>
  <c r="K291" i="14"/>
  <c r="K292" i="14"/>
  <c r="K293" i="14"/>
  <c r="K294" i="14"/>
  <c r="K295" i="14"/>
  <c r="K296" i="14"/>
  <c r="K297" i="14"/>
  <c r="K298" i="14"/>
  <c r="K299" i="14"/>
  <c r="K300" i="14"/>
  <c r="K301" i="14"/>
  <c r="K302" i="14"/>
  <c r="K304" i="14"/>
  <c r="K305" i="14"/>
  <c r="K306" i="14"/>
  <c r="K307" i="14"/>
  <c r="K308" i="14"/>
  <c r="K309" i="14"/>
  <c r="K310" i="14"/>
  <c r="K311" i="14"/>
  <c r="K312" i="14"/>
  <c r="K313" i="14"/>
  <c r="K314" i="14"/>
  <c r="K315" i="14"/>
  <c r="K316" i="14"/>
  <c r="K317" i="14"/>
  <c r="K318" i="14"/>
  <c r="K319" i="14"/>
  <c r="K320" i="14"/>
  <c r="K321" i="14"/>
  <c r="K322" i="14"/>
  <c r="K323" i="14"/>
  <c r="K324" i="14"/>
  <c r="K325" i="14"/>
  <c r="K327" i="14"/>
  <c r="K328" i="14"/>
  <c r="K329" i="14"/>
  <c r="K330" i="14"/>
  <c r="K331" i="14"/>
  <c r="K332" i="14"/>
  <c r="K333" i="14"/>
  <c r="K334" i="14"/>
  <c r="K335" i="14"/>
  <c r="K336" i="14"/>
  <c r="K337" i="14"/>
  <c r="K338" i="14"/>
  <c r="K339" i="14"/>
  <c r="K340" i="14"/>
  <c r="K341" i="14"/>
  <c r="K342" i="14"/>
  <c r="K343" i="14"/>
  <c r="K344" i="14"/>
  <c r="K345" i="14"/>
  <c r="K346" i="14"/>
  <c r="K347" i="14"/>
  <c r="K348" i="14"/>
  <c r="K349" i="14"/>
  <c r="K350" i="14"/>
  <c r="K352" i="14"/>
  <c r="K353" i="14"/>
  <c r="K354" i="14"/>
  <c r="K355" i="14"/>
  <c r="K356" i="14"/>
  <c r="K357" i="14"/>
  <c r="K358" i="14"/>
  <c r="K359" i="14"/>
  <c r="K360" i="14"/>
  <c r="K361" i="14"/>
  <c r="K362" i="14"/>
  <c r="K363" i="14"/>
  <c r="K364" i="14"/>
  <c r="K365" i="14"/>
  <c r="K366" i="14"/>
  <c r="K367" i="14"/>
  <c r="K368" i="14"/>
  <c r="K369" i="14"/>
  <c r="K370" i="14"/>
  <c r="K371" i="14"/>
  <c r="K372" i="14"/>
  <c r="K373" i="14"/>
  <c r="K374" i="14"/>
  <c r="K375" i="14"/>
  <c r="K376" i="14"/>
  <c r="K377" i="14"/>
  <c r="K378" i="14"/>
  <c r="K379" i="14"/>
  <c r="K380" i="14"/>
  <c r="K381" i="14"/>
  <c r="K382" i="14"/>
  <c r="K384" i="14"/>
  <c r="K385" i="14"/>
  <c r="K386" i="14"/>
  <c r="K387" i="14"/>
  <c r="K388" i="14"/>
  <c r="K389" i="14"/>
  <c r="K390" i="14"/>
  <c r="K391" i="14"/>
  <c r="K392" i="14"/>
  <c r="K394" i="14"/>
  <c r="K395" i="14"/>
  <c r="K396" i="14"/>
  <c r="K397" i="14"/>
  <c r="K398" i="14"/>
  <c r="K399" i="14"/>
  <c r="K400" i="14"/>
  <c r="K401" i="14"/>
  <c r="K403" i="14"/>
  <c r="K404" i="14"/>
  <c r="K405" i="14"/>
  <c r="K406" i="14"/>
  <c r="K407" i="14"/>
  <c r="K408" i="14"/>
  <c r="K409" i="14"/>
  <c r="K410" i="14"/>
  <c r="K411" i="14"/>
  <c r="K412" i="14"/>
  <c r="K413" i="14"/>
  <c r="K414" i="14"/>
  <c r="K415" i="14"/>
  <c r="K416" i="14"/>
  <c r="K417" i="14"/>
  <c r="K418" i="14"/>
  <c r="K419" i="14"/>
  <c r="K420" i="14"/>
  <c r="K421" i="14"/>
  <c r="K422" i="14"/>
  <c r="K423" i="14"/>
  <c r="K424" i="14"/>
  <c r="K425" i="14"/>
  <c r="K426" i="14"/>
  <c r="J2" i="14" l="1"/>
  <c r="J3" i="14"/>
  <c r="J4" i="14"/>
  <c r="J5" i="14"/>
  <c r="J6" i="14"/>
  <c r="J7" i="14"/>
  <c r="J8" i="14"/>
  <c r="J29" i="14"/>
  <c r="J30" i="14"/>
  <c r="J31" i="14"/>
  <c r="J32" i="14"/>
  <c r="J33" i="14"/>
  <c r="J46" i="14"/>
  <c r="J47" i="14"/>
  <c r="J48" i="14"/>
  <c r="J49" i="14"/>
  <c r="J50" i="14"/>
  <c r="J51" i="14"/>
  <c r="J53" i="14"/>
  <c r="J54" i="14"/>
  <c r="J55" i="14"/>
  <c r="J56" i="14"/>
  <c r="J57" i="14"/>
  <c r="J58" i="14"/>
  <c r="J59" i="14"/>
  <c r="J60" i="14"/>
  <c r="J61" i="14"/>
  <c r="J62" i="14"/>
  <c r="J63" i="14"/>
  <c r="J64" i="14"/>
  <c r="J65" i="14"/>
  <c r="J66" i="14"/>
  <c r="J67" i="14"/>
  <c r="J68" i="14"/>
  <c r="J69" i="14"/>
  <c r="J70" i="14"/>
  <c r="J71" i="14"/>
  <c r="J72" i="14"/>
  <c r="J74" i="14"/>
  <c r="J75" i="14"/>
  <c r="J76" i="14"/>
  <c r="J77" i="14"/>
  <c r="J78" i="14"/>
  <c r="J79" i="14"/>
  <c r="J80" i="14"/>
  <c r="J81" i="14"/>
  <c r="J82" i="14"/>
  <c r="J83" i="14"/>
  <c r="J84" i="14"/>
  <c r="J85" i="14"/>
  <c r="J86" i="14"/>
  <c r="J87" i="14"/>
  <c r="J88" i="14"/>
  <c r="J89" i="14"/>
  <c r="J90" i="14"/>
  <c r="J91" i="14"/>
  <c r="J92" i="14"/>
  <c r="J93" i="14"/>
  <c r="J94" i="14"/>
  <c r="J96" i="14"/>
  <c r="J97" i="14"/>
  <c r="J98" i="14"/>
  <c r="J99" i="14"/>
  <c r="J100" i="14"/>
  <c r="J101" i="14"/>
  <c r="J102" i="14"/>
  <c r="J103" i="14"/>
  <c r="J104" i="14"/>
  <c r="J105" i="14"/>
  <c r="J106" i="14"/>
  <c r="J107" i="14"/>
  <c r="J108" i="14"/>
  <c r="J109" i="14"/>
  <c r="J110" i="14"/>
  <c r="J111" i="14"/>
  <c r="J112" i="14"/>
  <c r="J113" i="14"/>
  <c r="J114" i="14"/>
  <c r="J115" i="14"/>
  <c r="J116" i="14"/>
  <c r="J117" i="14"/>
  <c r="J118" i="14"/>
  <c r="J119" i="14"/>
  <c r="J120" i="14"/>
  <c r="J121" i="14"/>
  <c r="J122" i="14"/>
  <c r="J123" i="14"/>
  <c r="J124" i="14"/>
  <c r="J125" i="14"/>
  <c r="J126" i="14"/>
  <c r="J127" i="14"/>
  <c r="J128" i="14"/>
  <c r="J129" i="14"/>
  <c r="J130" i="14"/>
  <c r="J132" i="14"/>
  <c r="J133" i="14"/>
  <c r="J134" i="14"/>
  <c r="J135" i="14"/>
  <c r="J137" i="14"/>
  <c r="J138" i="14"/>
  <c r="J139" i="14"/>
  <c r="J140" i="14"/>
  <c r="J141" i="14"/>
  <c r="J142" i="14"/>
  <c r="J143" i="14"/>
  <c r="J144" i="14"/>
  <c r="J146" i="14"/>
  <c r="J147" i="14"/>
  <c r="J148" i="14"/>
  <c r="J149" i="14"/>
  <c r="J150" i="14"/>
  <c r="J151" i="14"/>
  <c r="J152" i="14"/>
  <c r="J153" i="14"/>
  <c r="J154" i="14"/>
  <c r="J155" i="14"/>
  <c r="J156" i="14"/>
  <c r="J157" i="14"/>
  <c r="J158" i="14"/>
  <c r="J159" i="14"/>
  <c r="J161" i="14"/>
  <c r="J162" i="14"/>
  <c r="J163" i="14"/>
  <c r="J164" i="14"/>
  <c r="J165" i="14"/>
  <c r="J166" i="14"/>
  <c r="J167" i="14"/>
  <c r="J168" i="14"/>
  <c r="J169" i="14"/>
  <c r="J170" i="14"/>
  <c r="J171" i="14"/>
  <c r="J172" i="14"/>
  <c r="J173" i="14"/>
  <c r="J175" i="14"/>
  <c r="J176" i="14"/>
  <c r="J177" i="14"/>
  <c r="J178" i="14"/>
  <c r="J179" i="14"/>
  <c r="J180" i="14"/>
  <c r="J181" i="14"/>
  <c r="J182" i="14"/>
  <c r="J183" i="14"/>
  <c r="J184" i="14"/>
  <c r="J185" i="14"/>
  <c r="J186" i="14"/>
  <c r="J187" i="14"/>
  <c r="J188" i="14"/>
  <c r="J189" i="14"/>
  <c r="J190" i="14"/>
  <c r="J191" i="14"/>
  <c r="J192" i="14"/>
  <c r="J193" i="14"/>
  <c r="J194" i="14"/>
  <c r="J195" i="14"/>
  <c r="J196" i="14"/>
  <c r="J197" i="14"/>
  <c r="J198" i="14"/>
  <c r="J199" i="14"/>
  <c r="J200" i="14"/>
  <c r="J201" i="14"/>
  <c r="J202" i="14"/>
  <c r="J203" i="14"/>
  <c r="J204" i="14"/>
  <c r="J206" i="14"/>
  <c r="J207" i="14"/>
  <c r="J208" i="14"/>
  <c r="J209" i="14"/>
  <c r="J210" i="14"/>
  <c r="J211" i="14"/>
  <c r="J212" i="14"/>
  <c r="J213" i="14"/>
  <c r="J214" i="14"/>
  <c r="J215" i="14"/>
  <c r="J217" i="14"/>
  <c r="J218" i="14"/>
  <c r="J219" i="14"/>
  <c r="J220" i="14"/>
  <c r="J221" i="14"/>
  <c r="J222" i="14"/>
  <c r="J224" i="14"/>
  <c r="J225" i="14"/>
  <c r="J226" i="14"/>
  <c r="J227" i="14"/>
  <c r="J228" i="14"/>
  <c r="J229" i="14"/>
  <c r="J230" i="14"/>
  <c r="J231" i="14"/>
  <c r="J232" i="14"/>
  <c r="J233" i="14"/>
  <c r="J234" i="14"/>
  <c r="J235" i="14"/>
  <c r="J236" i="14"/>
  <c r="J237" i="14"/>
  <c r="J238" i="14"/>
  <c r="J239" i="14"/>
  <c r="J240" i="14"/>
  <c r="J241" i="14"/>
  <c r="J242" i="14"/>
  <c r="J243" i="14"/>
  <c r="J244" i="14"/>
  <c r="J246" i="14"/>
  <c r="J247" i="14"/>
  <c r="J248" i="14"/>
  <c r="J249" i="14"/>
  <c r="J250" i="14"/>
  <c r="J251" i="14"/>
  <c r="J252" i="14"/>
  <c r="J253" i="14"/>
  <c r="J254" i="14"/>
  <c r="J255" i="14"/>
  <c r="J256" i="14"/>
  <c r="J257" i="14"/>
  <c r="J258" i="14"/>
  <c r="J259" i="14"/>
  <c r="J260" i="14"/>
  <c r="J261" i="14"/>
  <c r="J262" i="14"/>
  <c r="J263" i="14"/>
  <c r="J265" i="14"/>
  <c r="J266" i="14"/>
  <c r="J267" i="14"/>
  <c r="J268" i="14"/>
  <c r="J269" i="14"/>
  <c r="J270" i="14"/>
  <c r="J271" i="14"/>
  <c r="J272" i="14"/>
  <c r="J273" i="14"/>
  <c r="J274" i="14"/>
  <c r="J275" i="14"/>
  <c r="J276" i="14"/>
  <c r="J277" i="14"/>
  <c r="J278" i="14"/>
  <c r="J279" i="14"/>
  <c r="J280" i="14"/>
  <c r="J281" i="14"/>
  <c r="J283" i="14"/>
  <c r="J284" i="14"/>
  <c r="J285" i="14"/>
  <c r="J286" i="14"/>
  <c r="J287" i="14"/>
  <c r="J288" i="14"/>
  <c r="J289" i="14"/>
  <c r="J290" i="14"/>
  <c r="J291" i="14"/>
  <c r="J292" i="14"/>
  <c r="J293" i="14"/>
  <c r="J294" i="14"/>
  <c r="J295" i="14"/>
  <c r="J296" i="14"/>
  <c r="J297" i="14"/>
  <c r="J298" i="14"/>
  <c r="J299" i="14"/>
  <c r="J300" i="14"/>
  <c r="J301" i="14"/>
  <c r="J302" i="14"/>
  <c r="J304" i="14"/>
  <c r="J305" i="14"/>
  <c r="J306" i="14"/>
  <c r="J307" i="14"/>
  <c r="J308" i="14"/>
  <c r="J309" i="14"/>
  <c r="J310" i="14"/>
  <c r="J311" i="14"/>
  <c r="J312" i="14"/>
  <c r="J313" i="14"/>
  <c r="J314" i="14"/>
  <c r="J315" i="14"/>
  <c r="J316" i="14"/>
  <c r="J317" i="14"/>
  <c r="J318" i="14"/>
  <c r="J319" i="14"/>
  <c r="J320" i="14"/>
  <c r="J321" i="14"/>
  <c r="J322" i="14"/>
  <c r="J323" i="14"/>
  <c r="J324" i="14"/>
  <c r="J325" i="14"/>
  <c r="J327" i="14"/>
  <c r="J328" i="14"/>
  <c r="J329" i="14"/>
  <c r="J330" i="14"/>
  <c r="J331" i="14"/>
  <c r="J332" i="14"/>
  <c r="J333" i="14"/>
  <c r="J334" i="14"/>
  <c r="J335" i="14"/>
  <c r="J336" i="14"/>
  <c r="J337" i="14"/>
  <c r="J338" i="14"/>
  <c r="J339" i="14"/>
  <c r="J340" i="14"/>
  <c r="J341" i="14"/>
  <c r="J342" i="14"/>
  <c r="J343" i="14"/>
  <c r="J344" i="14"/>
  <c r="J345" i="14"/>
  <c r="J346" i="14"/>
  <c r="J347" i="14"/>
  <c r="J348" i="14"/>
  <c r="J349" i="14"/>
  <c r="J350" i="14"/>
  <c r="J352" i="14"/>
  <c r="J353" i="14"/>
  <c r="J354" i="14"/>
  <c r="J355" i="14"/>
  <c r="J356" i="14"/>
  <c r="J357" i="14"/>
  <c r="J358" i="14"/>
  <c r="J359" i="14"/>
  <c r="J360" i="14"/>
  <c r="J361" i="14"/>
  <c r="J362" i="14"/>
  <c r="J363" i="14"/>
  <c r="J364" i="14"/>
  <c r="J365" i="14"/>
  <c r="J366" i="14"/>
  <c r="J367" i="14"/>
  <c r="J368" i="14"/>
  <c r="J369" i="14"/>
  <c r="J370" i="14"/>
  <c r="J371" i="14"/>
  <c r="J372" i="14"/>
  <c r="J373" i="14"/>
  <c r="J374" i="14"/>
  <c r="J375" i="14"/>
  <c r="J376" i="14"/>
  <c r="J377" i="14"/>
  <c r="J378" i="14"/>
  <c r="J379" i="14"/>
  <c r="J380" i="14"/>
  <c r="J381" i="14"/>
  <c r="J382" i="14"/>
  <c r="J384" i="14"/>
  <c r="J385" i="14"/>
  <c r="J386" i="14"/>
  <c r="J387" i="14"/>
  <c r="J388" i="14"/>
  <c r="J389" i="14"/>
  <c r="J390" i="14"/>
  <c r="J391" i="14"/>
  <c r="J392" i="14"/>
  <c r="J394" i="14"/>
  <c r="J395" i="14"/>
  <c r="J396" i="14"/>
  <c r="J397" i="14"/>
  <c r="J398" i="14"/>
  <c r="J399" i="14"/>
  <c r="J400" i="14"/>
  <c r="J401" i="14"/>
  <c r="J403" i="14"/>
  <c r="J404" i="14"/>
  <c r="J405" i="14"/>
  <c r="J406" i="14"/>
  <c r="J407" i="14"/>
  <c r="J408" i="14"/>
  <c r="J409" i="14"/>
  <c r="J410" i="14"/>
  <c r="J411" i="14"/>
  <c r="J412" i="14"/>
  <c r="J413" i="14"/>
  <c r="J414" i="14"/>
  <c r="J415" i="14"/>
  <c r="J416" i="14"/>
  <c r="J417" i="14"/>
  <c r="J418" i="14"/>
  <c r="J419" i="14"/>
  <c r="J420" i="14"/>
  <c r="J421" i="14"/>
  <c r="J422" i="14"/>
  <c r="J423" i="14"/>
  <c r="J424" i="14"/>
  <c r="J425" i="14"/>
  <c r="J426" i="14"/>
  <c r="L148" i="14"/>
  <c r="M148" i="14"/>
  <c r="M426" i="14"/>
  <c r="L426" i="14"/>
  <c r="M425" i="14"/>
  <c r="L425" i="14"/>
  <c r="M424" i="14"/>
  <c r="L424" i="14"/>
  <c r="M423" i="14"/>
  <c r="L423" i="14"/>
  <c r="M422" i="14"/>
  <c r="L422" i="14"/>
  <c r="M421" i="14"/>
  <c r="L421" i="14"/>
  <c r="M420" i="14"/>
  <c r="L420" i="14"/>
  <c r="M419" i="14"/>
  <c r="L419" i="14"/>
  <c r="M418" i="14"/>
  <c r="L418" i="14"/>
  <c r="M417" i="14"/>
  <c r="L417" i="14"/>
  <c r="M416" i="14"/>
  <c r="L416" i="14"/>
  <c r="M415" i="14"/>
  <c r="L415" i="14"/>
  <c r="M414" i="14"/>
  <c r="L414" i="14"/>
  <c r="M413" i="14"/>
  <c r="L413" i="14"/>
  <c r="M412" i="14"/>
  <c r="L412" i="14"/>
  <c r="M411" i="14"/>
  <c r="L411" i="14"/>
  <c r="M410" i="14"/>
  <c r="L410" i="14"/>
  <c r="M409" i="14"/>
  <c r="L409" i="14"/>
  <c r="M408" i="14"/>
  <c r="L408" i="14"/>
  <c r="M407" i="14"/>
  <c r="L407" i="14"/>
  <c r="M406" i="14"/>
  <c r="L406" i="14"/>
  <c r="M405" i="14"/>
  <c r="L405" i="14"/>
  <c r="M404" i="14"/>
  <c r="L404" i="14"/>
  <c r="M403" i="14"/>
  <c r="L403" i="14"/>
  <c r="M401" i="14"/>
  <c r="L401" i="14"/>
  <c r="M400" i="14"/>
  <c r="L400" i="14"/>
  <c r="M399" i="14"/>
  <c r="L399" i="14"/>
  <c r="M398" i="14"/>
  <c r="L398" i="14"/>
  <c r="M397" i="14"/>
  <c r="L397" i="14"/>
  <c r="M396" i="14"/>
  <c r="L396" i="14"/>
  <c r="M395" i="14"/>
  <c r="L395" i="14"/>
  <c r="M394" i="14"/>
  <c r="L394" i="14"/>
  <c r="M392" i="14"/>
  <c r="L392" i="14"/>
  <c r="M391" i="14"/>
  <c r="L391" i="14"/>
  <c r="M390" i="14"/>
  <c r="L390" i="14"/>
  <c r="M389" i="14"/>
  <c r="L389" i="14"/>
  <c r="M388" i="14"/>
  <c r="L388" i="14"/>
  <c r="M387" i="14"/>
  <c r="L387" i="14"/>
  <c r="M386" i="14"/>
  <c r="L386" i="14"/>
  <c r="M385" i="14"/>
  <c r="L385" i="14"/>
  <c r="M384" i="14"/>
  <c r="L384" i="14"/>
  <c r="M382" i="14"/>
  <c r="L382" i="14"/>
  <c r="M381" i="14"/>
  <c r="L381" i="14"/>
  <c r="M380" i="14"/>
  <c r="L380" i="14"/>
  <c r="M379" i="14"/>
  <c r="L379" i="14"/>
  <c r="M378" i="14"/>
  <c r="L378" i="14"/>
  <c r="M377" i="14"/>
  <c r="L377" i="14"/>
  <c r="M376" i="14"/>
  <c r="L376" i="14"/>
  <c r="M375" i="14"/>
  <c r="L375" i="14"/>
  <c r="M374" i="14"/>
  <c r="L374" i="14"/>
  <c r="M373" i="14"/>
  <c r="L373" i="14"/>
  <c r="M372" i="14"/>
  <c r="L372" i="14"/>
  <c r="M371" i="14"/>
  <c r="L371" i="14"/>
  <c r="M370" i="14"/>
  <c r="L370" i="14"/>
  <c r="M369" i="14"/>
  <c r="L369" i="14"/>
  <c r="M368" i="14"/>
  <c r="L368" i="14"/>
  <c r="M367" i="14"/>
  <c r="L367" i="14"/>
  <c r="M366" i="14"/>
  <c r="L366" i="14"/>
  <c r="M365" i="14"/>
  <c r="L365" i="14"/>
  <c r="M364" i="14"/>
  <c r="L364" i="14"/>
  <c r="M363" i="14"/>
  <c r="L363" i="14"/>
  <c r="M362" i="14"/>
  <c r="L362" i="14"/>
  <c r="M361" i="14"/>
  <c r="L361" i="14"/>
  <c r="M360" i="14"/>
  <c r="L360" i="14"/>
  <c r="M359" i="14"/>
  <c r="L359" i="14"/>
  <c r="M358" i="14"/>
  <c r="L358" i="14"/>
  <c r="M357" i="14"/>
  <c r="L357" i="14"/>
  <c r="M356" i="14"/>
  <c r="L356" i="14"/>
  <c r="M355" i="14"/>
  <c r="L355" i="14"/>
  <c r="M354" i="14"/>
  <c r="L354" i="14"/>
  <c r="M353" i="14"/>
  <c r="L353" i="14"/>
  <c r="M352" i="14"/>
  <c r="L352" i="14"/>
  <c r="M350" i="14"/>
  <c r="L350" i="14"/>
  <c r="M349" i="14"/>
  <c r="L349" i="14"/>
  <c r="M348" i="14"/>
  <c r="L348" i="14"/>
  <c r="M347" i="14"/>
  <c r="L347" i="14"/>
  <c r="M346" i="14"/>
  <c r="L346" i="14"/>
  <c r="M345" i="14"/>
  <c r="L345" i="14"/>
  <c r="M344" i="14"/>
  <c r="L344" i="14"/>
  <c r="M343" i="14"/>
  <c r="L343" i="14"/>
  <c r="M342" i="14"/>
  <c r="L342" i="14"/>
  <c r="M341" i="14"/>
  <c r="L341" i="14"/>
  <c r="M340" i="14"/>
  <c r="L340" i="14"/>
  <c r="M339" i="14"/>
  <c r="L339" i="14"/>
  <c r="M338" i="14"/>
  <c r="L338" i="14"/>
  <c r="M337" i="14"/>
  <c r="L337" i="14"/>
  <c r="M336" i="14"/>
  <c r="L336" i="14"/>
  <c r="M335" i="14"/>
  <c r="L335" i="14"/>
  <c r="M334" i="14"/>
  <c r="L334" i="14"/>
  <c r="M333" i="14"/>
  <c r="L333" i="14"/>
  <c r="M332" i="14"/>
  <c r="L332" i="14"/>
  <c r="M331" i="14"/>
  <c r="L331" i="14"/>
  <c r="M330" i="14"/>
  <c r="L330" i="14"/>
  <c r="M329" i="14"/>
  <c r="L329" i="14"/>
  <c r="M328" i="14"/>
  <c r="L328" i="14"/>
  <c r="M327" i="14"/>
  <c r="L327" i="14"/>
  <c r="M325" i="14"/>
  <c r="L325" i="14"/>
  <c r="M324" i="14"/>
  <c r="L324" i="14"/>
  <c r="M323" i="14"/>
  <c r="L323" i="14"/>
  <c r="M322" i="14"/>
  <c r="L322" i="14"/>
  <c r="M321" i="14"/>
  <c r="L321" i="14"/>
  <c r="M320" i="14"/>
  <c r="L320" i="14"/>
  <c r="M319" i="14"/>
  <c r="L319" i="14"/>
  <c r="M318" i="14"/>
  <c r="L318" i="14"/>
  <c r="M317" i="14"/>
  <c r="L317" i="14"/>
  <c r="M316" i="14"/>
  <c r="L316" i="14"/>
  <c r="M315" i="14"/>
  <c r="L315" i="14"/>
  <c r="M314" i="14"/>
  <c r="L314" i="14"/>
  <c r="M313" i="14"/>
  <c r="L313" i="14"/>
  <c r="M312" i="14"/>
  <c r="L312" i="14"/>
  <c r="M311" i="14"/>
  <c r="L311" i="14"/>
  <c r="M310" i="14"/>
  <c r="L310" i="14"/>
  <c r="M309" i="14"/>
  <c r="L309" i="14"/>
  <c r="M308" i="14"/>
  <c r="L308" i="14"/>
  <c r="M307" i="14"/>
  <c r="L307" i="14"/>
  <c r="M306" i="14"/>
  <c r="L306" i="14"/>
  <c r="M305" i="14"/>
  <c r="L305" i="14"/>
  <c r="M304" i="14"/>
  <c r="L304" i="14"/>
  <c r="M302" i="14"/>
  <c r="L302" i="14"/>
  <c r="M301" i="14"/>
  <c r="L301" i="14"/>
  <c r="M300" i="14"/>
  <c r="L300" i="14"/>
  <c r="M299" i="14"/>
  <c r="L299" i="14"/>
  <c r="M298" i="14"/>
  <c r="L298" i="14"/>
  <c r="M297" i="14"/>
  <c r="L297" i="14"/>
  <c r="M296" i="14"/>
  <c r="L296" i="14"/>
  <c r="M295" i="14"/>
  <c r="L295" i="14"/>
  <c r="M294" i="14"/>
  <c r="L294" i="14"/>
  <c r="M293" i="14"/>
  <c r="L293" i="14"/>
  <c r="M292" i="14"/>
  <c r="L292" i="14"/>
  <c r="M291" i="14"/>
  <c r="L291" i="14"/>
  <c r="M290" i="14"/>
  <c r="L290" i="14"/>
  <c r="M289" i="14"/>
  <c r="L289" i="14"/>
  <c r="M288" i="14"/>
  <c r="L288" i="14"/>
  <c r="M287" i="14"/>
  <c r="L287" i="14"/>
  <c r="M286" i="14"/>
  <c r="L286" i="14"/>
  <c r="M285" i="14"/>
  <c r="L285" i="14"/>
  <c r="M284" i="14"/>
  <c r="L284" i="14"/>
  <c r="M283" i="14"/>
  <c r="L283" i="14"/>
  <c r="M281" i="14"/>
  <c r="L281" i="14"/>
  <c r="M280" i="14"/>
  <c r="L280" i="14"/>
  <c r="M279" i="14"/>
  <c r="L279" i="14"/>
  <c r="M278" i="14"/>
  <c r="L278" i="14"/>
  <c r="M277" i="14"/>
  <c r="L277" i="14"/>
  <c r="M276" i="14"/>
  <c r="L276" i="14"/>
  <c r="M275" i="14"/>
  <c r="L275" i="14"/>
  <c r="M274" i="14"/>
  <c r="L274" i="14"/>
  <c r="M273" i="14"/>
  <c r="L273" i="14"/>
  <c r="M272" i="14"/>
  <c r="L272" i="14"/>
  <c r="M271" i="14"/>
  <c r="L271" i="14"/>
  <c r="M270" i="14"/>
  <c r="L270" i="14"/>
  <c r="M269" i="14"/>
  <c r="L269" i="14"/>
  <c r="M268" i="14"/>
  <c r="L268" i="14"/>
  <c r="M267" i="14"/>
  <c r="L267" i="14"/>
  <c r="M266" i="14"/>
  <c r="L266" i="14"/>
  <c r="M265" i="14"/>
  <c r="L265" i="14"/>
  <c r="M263" i="14"/>
  <c r="L263" i="14"/>
  <c r="M262" i="14"/>
  <c r="L262" i="14"/>
  <c r="M261" i="14"/>
  <c r="L261" i="14"/>
  <c r="M260" i="14"/>
  <c r="L260" i="14"/>
  <c r="M259" i="14"/>
  <c r="L259" i="14"/>
  <c r="M258" i="14"/>
  <c r="L258" i="14"/>
  <c r="M257" i="14"/>
  <c r="L257" i="14"/>
  <c r="M256" i="14"/>
  <c r="L256" i="14"/>
  <c r="M255" i="14"/>
  <c r="L255" i="14"/>
  <c r="M254" i="14"/>
  <c r="L254" i="14"/>
  <c r="M253" i="14"/>
  <c r="L253" i="14"/>
  <c r="M252" i="14"/>
  <c r="L252" i="14"/>
  <c r="M251" i="14"/>
  <c r="L251" i="14"/>
  <c r="M250" i="14"/>
  <c r="L250" i="14"/>
  <c r="M249" i="14"/>
  <c r="L249" i="14"/>
  <c r="M248" i="14"/>
  <c r="L248" i="14"/>
  <c r="M247" i="14"/>
  <c r="L247" i="14"/>
  <c r="M246" i="14"/>
  <c r="L246" i="14"/>
  <c r="M244" i="14"/>
  <c r="L244" i="14"/>
  <c r="M243" i="14"/>
  <c r="L243" i="14"/>
  <c r="M242" i="14"/>
  <c r="L242" i="14"/>
  <c r="M241" i="14"/>
  <c r="L241" i="14"/>
  <c r="M240" i="14"/>
  <c r="L240" i="14"/>
  <c r="M239" i="14"/>
  <c r="L239" i="14"/>
  <c r="M238" i="14"/>
  <c r="L238" i="14"/>
  <c r="M237" i="14"/>
  <c r="L237" i="14"/>
  <c r="M236" i="14"/>
  <c r="L236" i="14"/>
  <c r="M235" i="14"/>
  <c r="L235" i="14"/>
  <c r="M234" i="14"/>
  <c r="L234" i="14"/>
  <c r="M233" i="14"/>
  <c r="L233" i="14"/>
  <c r="M232" i="14"/>
  <c r="L232" i="14"/>
  <c r="M231" i="14"/>
  <c r="L231" i="14"/>
  <c r="M230" i="14"/>
  <c r="L230" i="14"/>
  <c r="M229" i="14"/>
  <c r="L229" i="14"/>
  <c r="M228" i="14"/>
  <c r="L228" i="14"/>
  <c r="M227" i="14"/>
  <c r="L227" i="14"/>
  <c r="M226" i="14"/>
  <c r="L226" i="14"/>
  <c r="M225" i="14"/>
  <c r="L225" i="14"/>
  <c r="M224" i="14"/>
  <c r="L224" i="14"/>
  <c r="M222" i="14"/>
  <c r="L222" i="14"/>
  <c r="M221" i="14"/>
  <c r="L221" i="14"/>
  <c r="M220" i="14"/>
  <c r="L220" i="14"/>
  <c r="M219" i="14"/>
  <c r="L219" i="14"/>
  <c r="M218" i="14"/>
  <c r="L218" i="14"/>
  <c r="M217" i="14"/>
  <c r="L217" i="14"/>
  <c r="M215" i="14"/>
  <c r="L215" i="14"/>
  <c r="M214" i="14"/>
  <c r="L214" i="14"/>
  <c r="M213" i="14"/>
  <c r="L213" i="14"/>
  <c r="M212" i="14"/>
  <c r="L212" i="14"/>
  <c r="M211" i="14"/>
  <c r="L211" i="14"/>
  <c r="M210" i="14"/>
  <c r="L210" i="14"/>
  <c r="M209" i="14"/>
  <c r="L209" i="14"/>
  <c r="M208" i="14"/>
  <c r="L208" i="14"/>
  <c r="M207" i="14"/>
  <c r="L207" i="14"/>
  <c r="M206" i="14"/>
  <c r="L206" i="14"/>
  <c r="M204" i="14"/>
  <c r="L204" i="14"/>
  <c r="M203" i="14"/>
  <c r="L203" i="14"/>
  <c r="M202" i="14"/>
  <c r="L202" i="14"/>
  <c r="M201" i="14"/>
  <c r="L201" i="14"/>
  <c r="M200" i="14"/>
  <c r="L200" i="14"/>
  <c r="M199" i="14"/>
  <c r="L199" i="14"/>
  <c r="M198" i="14"/>
  <c r="L198" i="14"/>
  <c r="M197" i="14"/>
  <c r="L197" i="14"/>
  <c r="M196" i="14"/>
  <c r="L196" i="14"/>
  <c r="M195" i="14"/>
  <c r="L195" i="14"/>
  <c r="M194" i="14"/>
  <c r="L194" i="14"/>
  <c r="M193" i="14"/>
  <c r="L193" i="14"/>
  <c r="M192" i="14"/>
  <c r="L192" i="14"/>
  <c r="M191" i="14"/>
  <c r="L191" i="14"/>
  <c r="M190" i="14"/>
  <c r="L190" i="14"/>
  <c r="M189" i="14"/>
  <c r="L189" i="14"/>
  <c r="M188" i="14"/>
  <c r="L188" i="14"/>
  <c r="M187" i="14"/>
  <c r="L187" i="14"/>
  <c r="M186" i="14"/>
  <c r="L186" i="14"/>
  <c r="M185" i="14"/>
  <c r="L185" i="14"/>
  <c r="M184" i="14"/>
  <c r="L184" i="14"/>
  <c r="M183" i="14"/>
  <c r="L183" i="14"/>
  <c r="M182" i="14"/>
  <c r="L182" i="14"/>
  <c r="M181" i="14"/>
  <c r="L181" i="14"/>
  <c r="M180" i="14"/>
  <c r="L180" i="14"/>
  <c r="M179" i="14"/>
  <c r="L179" i="14"/>
  <c r="M178" i="14"/>
  <c r="L178" i="14"/>
  <c r="M177" i="14"/>
  <c r="L177" i="14"/>
  <c r="M176" i="14"/>
  <c r="L176" i="14"/>
  <c r="M175" i="14"/>
  <c r="L175" i="14"/>
  <c r="M173" i="14"/>
  <c r="L173" i="14"/>
  <c r="M172" i="14"/>
  <c r="L172" i="14"/>
  <c r="M171" i="14"/>
  <c r="L171" i="14"/>
  <c r="M170" i="14"/>
  <c r="L170" i="14"/>
  <c r="M169" i="14"/>
  <c r="L169" i="14"/>
  <c r="M168" i="14"/>
  <c r="L168" i="14"/>
  <c r="M167" i="14"/>
  <c r="L167" i="14"/>
  <c r="M166" i="14"/>
  <c r="L166" i="14"/>
  <c r="M165" i="14"/>
  <c r="L165" i="14"/>
  <c r="M164" i="14"/>
  <c r="L164" i="14"/>
  <c r="M163" i="14"/>
  <c r="L163" i="14"/>
  <c r="M162" i="14"/>
  <c r="L162" i="14"/>
  <c r="M161" i="14"/>
  <c r="L161" i="14"/>
  <c r="M159" i="14"/>
  <c r="L159" i="14"/>
  <c r="M158" i="14"/>
  <c r="L158" i="14"/>
  <c r="M157" i="14"/>
  <c r="L157" i="14"/>
  <c r="M156" i="14"/>
  <c r="L156" i="14"/>
  <c r="M155" i="14"/>
  <c r="L155" i="14"/>
  <c r="M154" i="14"/>
  <c r="L154" i="14"/>
  <c r="M153" i="14"/>
  <c r="L153" i="14"/>
  <c r="M152" i="14"/>
  <c r="L152" i="14"/>
  <c r="M151" i="14"/>
  <c r="L151" i="14"/>
  <c r="M150" i="14"/>
  <c r="L150" i="14"/>
  <c r="M149" i="14"/>
  <c r="L149" i="14"/>
  <c r="M147" i="14"/>
  <c r="L147" i="14"/>
  <c r="M146" i="14"/>
  <c r="L146" i="14"/>
  <c r="M144" i="14"/>
  <c r="L144" i="14"/>
  <c r="M143" i="14"/>
  <c r="L143" i="14"/>
  <c r="M142" i="14"/>
  <c r="L142" i="14"/>
  <c r="M141" i="14"/>
  <c r="L141" i="14"/>
  <c r="M140" i="14"/>
  <c r="L140" i="14"/>
  <c r="M139" i="14"/>
  <c r="L139" i="14"/>
  <c r="M138" i="14"/>
  <c r="L138" i="14"/>
  <c r="M137" i="14"/>
  <c r="L137" i="14"/>
  <c r="M135" i="14"/>
  <c r="L135" i="14"/>
  <c r="M134" i="14"/>
  <c r="L134" i="14"/>
  <c r="M133" i="14"/>
  <c r="L133" i="14"/>
  <c r="M132" i="14"/>
  <c r="L132" i="14"/>
  <c r="M130" i="14"/>
  <c r="L130" i="14"/>
  <c r="M129" i="14"/>
  <c r="L129" i="14"/>
  <c r="M128" i="14"/>
  <c r="L128" i="14"/>
  <c r="M127" i="14"/>
  <c r="L127" i="14"/>
  <c r="M126" i="14"/>
  <c r="L126" i="14"/>
  <c r="M125" i="14"/>
  <c r="L125" i="14"/>
  <c r="M124" i="14"/>
  <c r="L124" i="14"/>
  <c r="M123" i="14"/>
  <c r="L123" i="14"/>
  <c r="M122" i="14"/>
  <c r="L122" i="14"/>
  <c r="M121" i="14"/>
  <c r="L121" i="14"/>
  <c r="M120" i="14"/>
  <c r="L120" i="14"/>
  <c r="M119" i="14"/>
  <c r="L119" i="14"/>
  <c r="M118" i="14"/>
  <c r="L118" i="14"/>
  <c r="M117" i="14"/>
  <c r="L117" i="14"/>
  <c r="M116" i="14"/>
  <c r="L116" i="14"/>
  <c r="M115" i="14"/>
  <c r="L115" i="14"/>
  <c r="M114" i="14"/>
  <c r="L114" i="14"/>
  <c r="M113" i="14"/>
  <c r="L113" i="14"/>
  <c r="M112" i="14"/>
  <c r="L112" i="14"/>
  <c r="M111" i="14"/>
  <c r="L111" i="14"/>
  <c r="M110" i="14"/>
  <c r="L110" i="14"/>
  <c r="M109" i="14"/>
  <c r="L109" i="14"/>
  <c r="M108" i="14"/>
  <c r="L108" i="14"/>
  <c r="M107" i="14"/>
  <c r="L107" i="14"/>
  <c r="M106" i="14"/>
  <c r="L106" i="14"/>
  <c r="M105" i="14"/>
  <c r="L105" i="14"/>
  <c r="M104" i="14"/>
  <c r="L104" i="14"/>
  <c r="M103" i="14"/>
  <c r="L103" i="14"/>
  <c r="M102" i="14"/>
  <c r="L102" i="14"/>
  <c r="M101" i="14"/>
  <c r="L101" i="14"/>
  <c r="M100" i="14"/>
  <c r="L100" i="14"/>
  <c r="M99" i="14"/>
  <c r="L99" i="14"/>
  <c r="M98" i="14"/>
  <c r="L98" i="14"/>
  <c r="M97" i="14"/>
  <c r="L97" i="14"/>
  <c r="M96" i="14"/>
  <c r="L96" i="14"/>
  <c r="M94" i="14"/>
  <c r="L94" i="14"/>
  <c r="M93" i="14"/>
  <c r="L93" i="14"/>
  <c r="M92" i="14"/>
  <c r="L92" i="14"/>
  <c r="M91" i="14"/>
  <c r="L91" i="14"/>
  <c r="M90" i="14"/>
  <c r="L90" i="14"/>
  <c r="M89" i="14"/>
  <c r="L89" i="14"/>
  <c r="M88" i="14"/>
  <c r="L88" i="14"/>
  <c r="M87" i="14"/>
  <c r="L87" i="14"/>
  <c r="M86" i="14"/>
  <c r="L86" i="14"/>
  <c r="M85" i="14"/>
  <c r="L85" i="14"/>
  <c r="M84" i="14"/>
  <c r="L84" i="14"/>
  <c r="M83" i="14"/>
  <c r="L83" i="14"/>
  <c r="M82" i="14"/>
  <c r="L82" i="14"/>
  <c r="M81" i="14"/>
  <c r="L81" i="14"/>
  <c r="M80" i="14"/>
  <c r="L80" i="14"/>
  <c r="M79" i="14"/>
  <c r="L79" i="14"/>
  <c r="M78" i="14"/>
  <c r="L78" i="14"/>
  <c r="M77" i="14"/>
  <c r="L77" i="14"/>
  <c r="M76" i="14"/>
  <c r="L76" i="14"/>
  <c r="M75" i="14"/>
  <c r="L75" i="14"/>
  <c r="M74" i="14"/>
  <c r="L74" i="14"/>
  <c r="M72" i="14"/>
  <c r="L72" i="14"/>
  <c r="M71" i="14"/>
  <c r="L71" i="14"/>
  <c r="M70" i="14"/>
  <c r="L70" i="14"/>
  <c r="M69" i="14"/>
  <c r="L69" i="14"/>
  <c r="M68" i="14"/>
  <c r="L68" i="14"/>
  <c r="M67" i="14"/>
  <c r="L67" i="14"/>
  <c r="M66" i="14"/>
  <c r="L66" i="14"/>
  <c r="M65" i="14"/>
  <c r="L65" i="14"/>
  <c r="M64" i="14"/>
  <c r="L64" i="14"/>
  <c r="M63" i="14"/>
  <c r="L63" i="14"/>
  <c r="M62" i="14"/>
  <c r="L62" i="14"/>
  <c r="M61" i="14"/>
  <c r="L61" i="14"/>
  <c r="M60" i="14"/>
  <c r="L60" i="14"/>
  <c r="M59" i="14"/>
  <c r="L59" i="14"/>
  <c r="M58" i="14"/>
  <c r="L58" i="14"/>
  <c r="M57" i="14"/>
  <c r="L57" i="14"/>
  <c r="M56" i="14"/>
  <c r="L56" i="14"/>
  <c r="M55" i="14"/>
  <c r="L55" i="14"/>
  <c r="M54" i="14"/>
  <c r="L54" i="14"/>
  <c r="M53" i="14"/>
  <c r="L53" i="14"/>
  <c r="M51" i="14"/>
  <c r="L51" i="14"/>
  <c r="M50" i="14"/>
  <c r="L50" i="14"/>
  <c r="M49" i="14"/>
  <c r="L49" i="14"/>
  <c r="M48" i="14"/>
  <c r="L48" i="14"/>
  <c r="L47" i="14"/>
  <c r="L46" i="14"/>
  <c r="M33" i="14"/>
  <c r="L33" i="14"/>
  <c r="M32" i="14"/>
  <c r="L32" i="14"/>
  <c r="M31" i="14"/>
  <c r="L31" i="14"/>
  <c r="M30" i="14"/>
  <c r="L30" i="14"/>
  <c r="M29" i="14"/>
  <c r="L29" i="14"/>
  <c r="M8" i="14"/>
  <c r="L8" i="14"/>
  <c r="M7" i="14"/>
  <c r="L7" i="14"/>
  <c r="M6" i="14"/>
  <c r="L6" i="14"/>
  <c r="M5" i="14"/>
  <c r="L5" i="14"/>
  <c r="M4" i="14"/>
  <c r="L4" i="14"/>
  <c r="M3" i="14"/>
  <c r="L3" i="14"/>
  <c r="M2" i="14"/>
  <c r="L2" i="14"/>
  <c r="C62" i="2"/>
  <c r="C61" i="2"/>
  <c r="C60" i="2"/>
  <c r="C59" i="2"/>
  <c r="C56" i="2"/>
  <c r="C55" i="2"/>
  <c r="C54" i="2"/>
  <c r="C53" i="2"/>
  <c r="C44" i="2"/>
  <c r="C43" i="2"/>
  <c r="C42" i="2"/>
  <c r="C41" i="2"/>
  <c r="C40" i="2"/>
  <c r="C39" i="2"/>
  <c r="C36" i="2"/>
  <c r="C35" i="2"/>
  <c r="C32" i="2"/>
  <c r="C31" i="2"/>
  <c r="C30" i="2"/>
  <c r="C29" i="2"/>
  <c r="C28" i="2"/>
  <c r="C27" i="2"/>
  <c r="C24" i="2"/>
  <c r="C23" i="2"/>
  <c r="C3" i="2"/>
  <c r="C2" i="2"/>
  <c r="C4" i="2"/>
  <c r="C5" i="2"/>
  <c r="C6" i="2"/>
  <c r="C9" i="2"/>
  <c r="C10" i="2"/>
  <c r="C17" i="2"/>
  <c r="AF9" i="2"/>
  <c r="AB17" i="2"/>
  <c r="AC17" i="2"/>
  <c r="AB15" i="2"/>
  <c r="AC15" i="2" s="1"/>
  <c r="AB14" i="2"/>
  <c r="AB16" i="2" s="1"/>
  <c r="AB11" i="2"/>
  <c r="AC10" i="2"/>
</calcChain>
</file>

<file path=xl/sharedStrings.xml><?xml version="1.0" encoding="utf-8"?>
<sst xmlns="http://schemas.openxmlformats.org/spreadsheetml/2006/main" count="13462" uniqueCount="160">
  <si>
    <t>NT</t>
  </si>
  <si>
    <t>Stim1</t>
  </si>
  <si>
    <t>Stim2</t>
  </si>
  <si>
    <t>Stim3</t>
  </si>
  <si>
    <t>Stim4</t>
  </si>
  <si>
    <t>Stim5</t>
  </si>
  <si>
    <t>Stim6</t>
  </si>
  <si>
    <t>Stim7</t>
  </si>
  <si>
    <t>Stim8</t>
  </si>
  <si>
    <t>repeat</t>
  </si>
  <si>
    <t>switch</t>
  </si>
  <si>
    <t>64 trials</t>
  </si>
  <si>
    <t>trials per condition</t>
  </si>
  <si>
    <t>(fillers still to add)</t>
  </si>
  <si>
    <t>Set1</t>
  </si>
  <si>
    <t>Set2</t>
  </si>
  <si>
    <t>Set3</t>
  </si>
  <si>
    <t>Set4</t>
  </si>
  <si>
    <t>for each seq of 16 I need 8 fillers</t>
  </si>
  <si>
    <t xml:space="preserve"> </t>
  </si>
  <si>
    <t>Set</t>
  </si>
  <si>
    <t>Each word appears X1 per condition</t>
  </si>
  <si>
    <t>Target</t>
  </si>
  <si>
    <t>Modality</t>
  </si>
  <si>
    <t>Rep_Sw</t>
  </si>
  <si>
    <t>BREAK</t>
  </si>
  <si>
    <t>Fillers for Set 1 --&gt; Set 3</t>
  </si>
  <si>
    <t>Fillers for Set 3 --&gt; Set 2</t>
  </si>
  <si>
    <t>Stimulus</t>
  </si>
  <si>
    <t>F</t>
  </si>
  <si>
    <t>Equal number oF T &amp; S Fillers throughout the list</t>
  </si>
  <si>
    <t>Does it make any difference if the "block" ends in a target trial and not a filler?</t>
  </si>
  <si>
    <t>muñeca</t>
  </si>
  <si>
    <t>cazador</t>
  </si>
  <si>
    <t>falda</t>
  </si>
  <si>
    <t>cartero</t>
  </si>
  <si>
    <t>mano</t>
  </si>
  <si>
    <t>conejo</t>
  </si>
  <si>
    <t>miel</t>
  </si>
  <si>
    <t>camisa</t>
  </si>
  <si>
    <t>T</t>
  </si>
  <si>
    <t>nontarget</t>
  </si>
  <si>
    <t>filler</t>
  </si>
  <si>
    <t>Stim1_Set1</t>
  </si>
  <si>
    <t>Stim2_Set1</t>
  </si>
  <si>
    <t>Stim3_Set1</t>
  </si>
  <si>
    <t>Stim4_Set1</t>
  </si>
  <si>
    <t>Stim5_Set1</t>
  </si>
  <si>
    <t>Stim6_Set1</t>
  </si>
  <si>
    <t>Stim7_Set1</t>
  </si>
  <si>
    <t>Stim8_Set1</t>
  </si>
  <si>
    <t>Stim8_Set2</t>
  </si>
  <si>
    <t>Stim7_Set2</t>
  </si>
  <si>
    <t>Stim6_Set2</t>
  </si>
  <si>
    <t>Stim5_Set2</t>
  </si>
  <si>
    <t>Stim4_Set2</t>
  </si>
  <si>
    <t>Stim3_Set2</t>
  </si>
  <si>
    <t>Stim2_Set2</t>
  </si>
  <si>
    <t>Stim1_Set2</t>
  </si>
  <si>
    <t>Stim1_Set3</t>
  </si>
  <si>
    <t>Stim2_Set3</t>
  </si>
  <si>
    <t>Stim3_Set3</t>
  </si>
  <si>
    <t>Stim4_Set3</t>
  </si>
  <si>
    <t>Stim5_Set3</t>
  </si>
  <si>
    <t>Stim6_Set3</t>
  </si>
  <si>
    <t>Stim7_Set3</t>
  </si>
  <si>
    <t>Stim8_Set3</t>
  </si>
  <si>
    <t>Stim8_Set4</t>
  </si>
  <si>
    <t>Stim7_Set4</t>
  </si>
  <si>
    <t>Stim6_Set4</t>
  </si>
  <si>
    <t>Stim5_Set4</t>
  </si>
  <si>
    <t>Stim4_Set4</t>
  </si>
  <si>
    <t>Stim3_Set4</t>
  </si>
  <si>
    <t>Stim2_Set4</t>
  </si>
  <si>
    <t>Stim1_Set4</t>
  </si>
  <si>
    <t>sequence</t>
  </si>
  <si>
    <t>modality</t>
  </si>
  <si>
    <t>target</t>
  </si>
  <si>
    <t>repSwitch</t>
  </si>
  <si>
    <t>stimulus</t>
  </si>
  <si>
    <t>speak</t>
  </si>
  <si>
    <t>type</t>
  </si>
  <si>
    <t>When calculating that you have 50% image repetition or image change you only count the 1st image of each pair.</t>
  </si>
  <si>
    <t>set</t>
  </si>
  <si>
    <t>Fillers for Set 2 --&gt; Set 1</t>
  </si>
  <si>
    <t>Fillers for Set 4 --&gt; Set 3</t>
  </si>
  <si>
    <t>(1 1)</t>
  </si>
  <si>
    <t>(2 2)</t>
  </si>
  <si>
    <t>(1 2)</t>
  </si>
  <si>
    <t>(2 1)</t>
  </si>
  <si>
    <t>(1 1) Repeat Type</t>
  </si>
  <si>
    <t>(2 2) Repeat Speak</t>
  </si>
  <si>
    <t>(1 2) Switch Type Speak</t>
  </si>
  <si>
    <t>(2 1) Switch Speak Type</t>
  </si>
  <si>
    <t>Stim5_Set5</t>
  </si>
  <si>
    <t>order1</t>
  </si>
  <si>
    <t>order2</t>
  </si>
  <si>
    <t>order3</t>
  </si>
  <si>
    <t>order4</t>
  </si>
  <si>
    <t>type_filler</t>
  </si>
  <si>
    <t>speak_filler</t>
  </si>
  <si>
    <t>Sequence</t>
  </si>
  <si>
    <t>vaso</t>
  </si>
  <si>
    <t>caracol</t>
  </si>
  <si>
    <t>pintor</t>
  </si>
  <si>
    <t>puente</t>
  </si>
  <si>
    <t>pavo</t>
  </si>
  <si>
    <t>aguja</t>
  </si>
  <si>
    <t>granja</t>
  </si>
  <si>
    <t>vaca</t>
  </si>
  <si>
    <t>iglesia</t>
  </si>
  <si>
    <t>fresa</t>
  </si>
  <si>
    <t>bombero</t>
  </si>
  <si>
    <t>cuerda</t>
  </si>
  <si>
    <t>manzana</t>
  </si>
  <si>
    <t>guante</t>
  </si>
  <si>
    <t>oveja</t>
  </si>
  <si>
    <t>baño</t>
  </si>
  <si>
    <t>pierna</t>
  </si>
  <si>
    <t>boca</t>
  </si>
  <si>
    <t>Picture</t>
  </si>
  <si>
    <t>oreja</t>
  </si>
  <si>
    <t>pulpo</t>
  </si>
  <si>
    <t>traje</t>
  </si>
  <si>
    <t>goma</t>
  </si>
  <si>
    <t>braga</t>
  </si>
  <si>
    <t>puerta</t>
  </si>
  <si>
    <t>here</t>
  </si>
  <si>
    <t>Additions</t>
  </si>
  <si>
    <t>Picture2</t>
  </si>
  <si>
    <t>Picture3</t>
  </si>
  <si>
    <t>Picture4</t>
  </si>
  <si>
    <t>espalda</t>
  </si>
  <si>
    <t>cerdo</t>
  </si>
  <si>
    <t>regalo</t>
  </si>
  <si>
    <t>taza</t>
  </si>
  <si>
    <t>trial</t>
  </si>
  <si>
    <t>Previous_modality_same</t>
  </si>
  <si>
    <t>Next_item_same_item</t>
  </si>
  <si>
    <t>Previous_is_target</t>
  </si>
  <si>
    <t>baseline</t>
  </si>
  <si>
    <t>Previous_is_filler</t>
  </si>
  <si>
    <t>break</t>
  </si>
  <si>
    <t>Row Labels</t>
  </si>
  <si>
    <t>Grand Total</t>
  </si>
  <si>
    <t>Count of modality</t>
  </si>
  <si>
    <t>Count of Previous_modality_same</t>
  </si>
  <si>
    <t>Column Labels</t>
  </si>
  <si>
    <t>0 Total</t>
  </si>
  <si>
    <t>1 Total</t>
  </si>
  <si>
    <t>no</t>
  </si>
  <si>
    <t>yes</t>
  </si>
  <si>
    <t>(blank)</t>
  </si>
  <si>
    <t>Count of stimulus</t>
  </si>
  <si>
    <t>Stim8_set4</t>
  </si>
  <si>
    <t xml:space="preserve">Stim2_Set3 </t>
  </si>
  <si>
    <t>set3</t>
  </si>
  <si>
    <t>set4</t>
  </si>
  <si>
    <t>set1</t>
  </si>
  <si>
    <t>set2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</si>
</sst>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family val="2"/>
      <charset val="161"/>
    </font>
    <font>
      <sz val="11"/>
      <color theme="1"/>
      <name val="Calibri"/>
      <family val="2"/>
      <charset val="161"/>
    </font>
    <font>
      <sz val="8"/>
      <name val="Calibri"/>
      <family val="2"/>
      <charset val="161"/>
    </font>
    <font>
      <b/>
      <sz val="11"/>
      <color rgb="FF000000"/>
      <name val="Calibri"/>
      <family val="2"/>
      <charset val="161"/>
    </font>
    <font>
      <b/>
      <sz val="11"/>
      <color theme="1"/>
      <name val="Calibri"/>
      <family val="2"/>
      <charset val="161"/>
    </font>
    <font>
      <sz val="11"/>
      <name val="Calibri"/>
      <family val="2"/>
      <charset val="161"/>
    </font>
    <font>
      <b/>
      <sz val="11"/>
      <name val="Calibri"/>
      <family val="2"/>
      <charset val="161"/>
    </font>
    <font>
      <sz val="11"/>
      <color rgb="FFFF4747"/>
      <name val="Calibri"/>
      <family val="2"/>
      <charset val="161"/>
    </font>
    <font>
      <sz val="11"/>
      <color rgb="FFFF0000"/>
      <name val="Calibri"/>
      <family val="2"/>
      <charset val="161"/>
    </font>
    <font>
      <b/>
      <sz val="11"/>
      <color rgb="FFFF0000"/>
      <name val="Calibri"/>
      <family val="2"/>
      <charset val="161"/>
    </font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theme="7" tint="0.59996337778862885"/>
        <bgColor indexed="64"/>
      </patternFill>
    </fill>
    <fill>
      <patternFill patternType="solid">
        <fgColor rgb="FFFF474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4FB8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7" tint="0.59999389629810485"/>
        <bgColor theme="6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249977111117893"/>
        <bgColor theme="6" tint="0.79998168889431442"/>
      </patternFill>
    </fill>
    <fill>
      <patternFill patternType="solid">
        <fgColor rgb="FF00B050"/>
        <bgColor theme="6" tint="0.79998168889431442"/>
      </patternFill>
    </fill>
    <fill>
      <patternFill patternType="solid">
        <fgColor rgb="FFFFC000"/>
        <bgColor theme="6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theme="6" tint="0.79998168889431442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theme="0" tint="-0.14999847407452621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6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/>
    <xf numFmtId="0" fontId="5" fillId="2" borderId="0" xfId="0" applyFont="1" applyFill="1"/>
    <xf numFmtId="0" fontId="5" fillId="3" borderId="0" xfId="0" applyFont="1" applyFill="1"/>
    <xf numFmtId="0" fontId="5" fillId="4" borderId="0" xfId="0" applyFont="1" applyFill="1"/>
    <xf numFmtId="0" fontId="5" fillId="5" borderId="0" xfId="0" applyFont="1" applyFill="1"/>
    <xf numFmtId="0" fontId="6" fillId="6" borderId="0" xfId="0" applyFont="1" applyFill="1"/>
    <xf numFmtId="0" fontId="5" fillId="7" borderId="0" xfId="0" applyFont="1" applyFill="1"/>
    <xf numFmtId="0" fontId="5" fillId="8" borderId="0" xfId="0" applyFont="1" applyFill="1"/>
    <xf numFmtId="0" fontId="5" fillId="6" borderId="0" xfId="0" applyFont="1" applyFill="1"/>
    <xf numFmtId="0" fontId="0" fillId="8" borderId="0" xfId="0" applyFill="1"/>
    <xf numFmtId="0" fontId="7" fillId="3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6" fillId="0" borderId="1" xfId="0" applyFont="1" applyBorder="1"/>
    <xf numFmtId="0" fontId="8" fillId="6" borderId="0" xfId="0" applyFont="1" applyFill="1"/>
    <xf numFmtId="0" fontId="9" fillId="0" borderId="0" xfId="0" applyFont="1"/>
    <xf numFmtId="0" fontId="8" fillId="7" borderId="0" xfId="0" applyFont="1" applyFill="1"/>
    <xf numFmtId="0" fontId="8" fillId="0" borderId="0" xfId="0" applyFont="1"/>
    <xf numFmtId="0" fontId="8" fillId="4" borderId="0" xfId="0" applyFont="1" applyFill="1"/>
    <xf numFmtId="0" fontId="5" fillId="9" borderId="0" xfId="0" applyFont="1" applyFill="1"/>
    <xf numFmtId="0" fontId="6" fillId="9" borderId="0" xfId="0" applyFont="1" applyFill="1"/>
    <xf numFmtId="0" fontId="1" fillId="9" borderId="0" xfId="0" applyFont="1" applyFill="1"/>
    <xf numFmtId="0" fontId="5" fillId="6" borderId="1" xfId="0" applyFont="1" applyFill="1" applyBorder="1"/>
    <xf numFmtId="0" fontId="5" fillId="5" borderId="1" xfId="0" applyFont="1" applyFill="1" applyBorder="1"/>
    <xf numFmtId="0" fontId="1" fillId="10" borderId="0" xfId="0" applyFont="1" applyFill="1"/>
    <xf numFmtId="0" fontId="6" fillId="11" borderId="0" xfId="0" applyFont="1" applyFill="1"/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6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5" fillId="8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7" borderId="0" xfId="0" applyFont="1" applyFill="1" applyAlignment="1">
      <alignment horizontal="center"/>
    </xf>
    <xf numFmtId="0" fontId="6" fillId="11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10" fillId="6" borderId="0" xfId="0" applyFont="1" applyFill="1"/>
    <xf numFmtId="0" fontId="11" fillId="6" borderId="0" xfId="0" applyFont="1" applyFill="1"/>
    <xf numFmtId="0" fontId="12" fillId="0" borderId="1" xfId="0" applyFont="1" applyBorder="1"/>
    <xf numFmtId="0" fontId="3" fillId="12" borderId="0" xfId="0" applyFont="1" applyFill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13" borderId="0" xfId="0" applyFont="1" applyFill="1" applyAlignment="1">
      <alignment horizontal="center"/>
    </xf>
    <xf numFmtId="0" fontId="11" fillId="14" borderId="0" xfId="0" applyFont="1" applyFill="1"/>
    <xf numFmtId="0" fontId="6" fillId="14" borderId="0" xfId="0" applyFont="1" applyFill="1" applyAlignment="1">
      <alignment horizontal="center"/>
    </xf>
    <xf numFmtId="0" fontId="5" fillId="14" borderId="0" xfId="0" applyFont="1" applyFill="1" applyAlignment="1">
      <alignment horizontal="center"/>
    </xf>
    <xf numFmtId="0" fontId="6" fillId="15" borderId="0" xfId="0" applyFont="1" applyFill="1" applyAlignment="1">
      <alignment horizontal="center"/>
    </xf>
    <xf numFmtId="0" fontId="5" fillId="15" borderId="0" xfId="0" applyFont="1" applyFill="1" applyAlignment="1">
      <alignment horizontal="center"/>
    </xf>
    <xf numFmtId="0" fontId="5" fillId="15" borderId="0" xfId="0" applyFont="1" applyFill="1"/>
    <xf numFmtId="0" fontId="5" fillId="14" borderId="0" xfId="0" applyFont="1" applyFill="1"/>
    <xf numFmtId="0" fontId="5" fillId="13" borderId="0" xfId="0" applyFont="1" applyFill="1" applyAlignment="1">
      <alignment horizontal="center"/>
    </xf>
    <xf numFmtId="0" fontId="5" fillId="13" borderId="0" xfId="0" applyFont="1" applyFill="1"/>
    <xf numFmtId="0" fontId="5" fillId="12" borderId="0" xfId="0" applyFont="1" applyFill="1" applyAlignment="1">
      <alignment horizontal="center"/>
    </xf>
    <xf numFmtId="0" fontId="5" fillId="12" borderId="0" xfId="0" applyFont="1" applyFill="1"/>
    <xf numFmtId="0" fontId="11" fillId="13" borderId="0" xfId="0" applyFont="1" applyFill="1"/>
    <xf numFmtId="0" fontId="6" fillId="9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5" fillId="9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4" fillId="0" borderId="2" xfId="0" applyFont="1" applyBorder="1" applyAlignment="1">
      <alignment horizontal="center"/>
    </xf>
    <xf numFmtId="0" fontId="5" fillId="16" borderId="0" xfId="0" applyFont="1" applyFill="1" applyAlignment="1">
      <alignment horizontal="center"/>
    </xf>
    <xf numFmtId="0" fontId="5" fillId="16" borderId="0" xfId="0" applyFont="1" applyFill="1"/>
    <xf numFmtId="0" fontId="5" fillId="17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1" fillId="0" borderId="0" xfId="0" applyFont="1"/>
    <xf numFmtId="0" fontId="4" fillId="0" borderId="2" xfId="0" applyFont="1" applyBorder="1"/>
    <xf numFmtId="0" fontId="5" fillId="11" borderId="0" xfId="0" applyFont="1" applyFill="1" applyAlignment="1">
      <alignment horizontal="center"/>
    </xf>
    <xf numFmtId="0" fontId="5" fillId="18" borderId="0" xfId="0" applyFont="1" applyFill="1"/>
    <xf numFmtId="0" fontId="5" fillId="19" borderId="0" xfId="0" applyFont="1" applyFill="1"/>
    <xf numFmtId="0" fontId="0" fillId="20" borderId="0" xfId="0" applyFill="1"/>
    <xf numFmtId="0" fontId="0" fillId="20" borderId="0" xfId="0" applyFill="1" applyAlignment="1">
      <alignment horizontal="right"/>
    </xf>
    <xf numFmtId="0" fontId="6" fillId="18" borderId="0" xfId="0" applyFont="1" applyFill="1" applyAlignment="1">
      <alignment horizontal="center"/>
    </xf>
    <xf numFmtId="0" fontId="5" fillId="18" borderId="0" xfId="0" applyFont="1" applyFill="1" applyAlignment="1">
      <alignment horizontal="center"/>
    </xf>
    <xf numFmtId="0" fontId="5" fillId="21" borderId="0" xfId="0" applyFont="1" applyFill="1" applyAlignment="1">
      <alignment horizontal="center"/>
    </xf>
    <xf numFmtId="0" fontId="5" fillId="21" borderId="0" xfId="0" applyFont="1" applyFill="1"/>
    <xf numFmtId="0" fontId="4" fillId="22" borderId="0" xfId="0" applyFont="1" applyFill="1" applyAlignment="1">
      <alignment horizontal="center"/>
    </xf>
    <xf numFmtId="0" fontId="12" fillId="22" borderId="0" xfId="0" applyFont="1" applyFill="1" applyAlignment="1">
      <alignment horizontal="center"/>
    </xf>
    <xf numFmtId="0" fontId="0" fillId="0" borderId="0" xfId="0" applyNumberFormat="1"/>
  </cellXfs>
  <cellStyles count="1">
    <cellStyle name="Normal" xfId="0" builtinId="0" customBuiltin="1"/>
  </cellStyles>
  <dxfs count="8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1"/>
        <scheme val="none"/>
      </font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1"/>
        <scheme val="none"/>
      </font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1"/>
        <scheme val="none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1"/>
        <scheme val="none"/>
      </font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1"/>
        <scheme val="none"/>
      </font>
      <fill>
        <patternFill patternType="none">
          <fgColor theme="0" tint="-0.14999847407452621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6" tint="0.79998168889431442"/>
          <bgColor auto="1"/>
        </patternFill>
      </fill>
    </dxf>
    <dxf>
      <border outline="0">
        <top style="thin">
          <color rgb="FFA5A5A5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border outline="0">
        <top style="thin">
          <color theme="6"/>
        </top>
        <bottom style="thin">
          <color theme="6"/>
        </bottom>
      </border>
    </dxf>
    <dxf>
      <border outline="0"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border outline="0">
        <top style="thin">
          <color theme="6"/>
        </top>
      </border>
    </dxf>
    <dxf>
      <border outline="0"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4FB8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4FB8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4FB8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border outline="0">
        <top style="thin">
          <color theme="6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4FB8FF"/>
        </patternFill>
      </fill>
    </dxf>
    <dxf>
      <border outline="0"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border outline="0">
        <top style="thin">
          <color theme="6"/>
        </top>
      </border>
    </dxf>
    <dxf>
      <border outline="0"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border outline="0">
        <top style="thin">
          <color theme="6"/>
        </top>
        <bottom style="thin">
          <color theme="6"/>
        </bottom>
      </border>
    </dxf>
    <dxf>
      <border outline="0"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border outline="0">
        <top style="thin">
          <color theme="6"/>
        </top>
        <bottom style="thin">
          <color theme="6"/>
        </bottom>
      </border>
    </dxf>
    <dxf>
      <border outline="0"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</dxfs>
  <tableStyles count="0" defaultTableStyle="TableStyleMedium2" defaultPivotStyle="PivotStyleLight16"/>
  <colors>
    <mruColors>
      <color rgb="FFFF4747"/>
      <color rgb="FF4FB8FF"/>
      <color rgb="FFFF0D0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rina Tsaroucha" refreshedDate="45112.51572974537" createdVersion="8" refreshedVersion="8" minRefreshableVersion="3" recordCount="425" xr:uid="{218C045B-6BF9-416F-8C4C-5966392A5E0D}">
  <cacheSource type="worksheet">
    <worksheetSource name="Table1214"/>
  </cacheSource>
  <cacheFields count="13">
    <cacheField name="set" numFmtId="0">
      <sharedItems containsMixedTypes="1" containsNumber="1" containsInteger="1" minValue="1" maxValue="4"/>
    </cacheField>
    <cacheField name="trial" numFmtId="0">
      <sharedItems containsString="0" containsBlank="1" containsNumber="1" containsInteger="1" minValue="1" maxValue="415"/>
    </cacheField>
    <cacheField name="sequence" numFmtId="0">
      <sharedItems containsString="0" containsBlank="1" containsNumber="1" containsInteger="1" minValue="1" maxValue="2"/>
    </cacheField>
    <cacheField name="modality" numFmtId="0">
      <sharedItems count="3">
        <s v="speak"/>
        <s v="type"/>
        <s v="break"/>
      </sharedItems>
    </cacheField>
    <cacheField name="target" numFmtId="0">
      <sharedItems count="4">
        <s v="F"/>
        <s v="NT"/>
        <s v="T"/>
        <s v="break"/>
      </sharedItems>
    </cacheField>
    <cacheField name="repSwitch" numFmtId="0">
      <sharedItems containsBlank="1"/>
    </cacheField>
    <cacheField name="stimulus" numFmtId="0">
      <sharedItems containsBlank="1"/>
    </cacheField>
    <cacheField name="Additions" numFmtId="0">
      <sharedItems containsBlank="1"/>
    </cacheField>
    <cacheField name="baseline" numFmtId="0">
      <sharedItems containsBlank="1"/>
    </cacheField>
    <cacheField name="Previous_modality_same" numFmtId="0">
      <sharedItems containsSemiMixedTypes="0" containsString="0" containsNumber="1" containsInteger="1" minValue="0" maxValue="1" count="2">
        <n v="0"/>
        <n v="1"/>
      </sharedItems>
    </cacheField>
    <cacheField name="Next_item_same_item" numFmtId="0">
      <sharedItems containsSemiMixedTypes="0" containsString="0" containsNumber="1" containsInteger="1" minValue="0" maxValue="1"/>
    </cacheField>
    <cacheField name="Previous_is_target" numFmtId="0">
      <sharedItems containsSemiMixedTypes="0" containsString="0" containsNumber="1" containsInteger="1" minValue="0" maxValue="1" count="2">
        <n v="0"/>
        <n v="1"/>
      </sharedItems>
    </cacheField>
    <cacheField name="Previous_is_filler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rina Tsaroucha" refreshedDate="45112.534191203704" createdVersion="8" refreshedVersion="8" minRefreshableVersion="3" recordCount="425" xr:uid="{09656523-133E-4157-B29B-B4FB4784EC54}">
  <cacheSource type="worksheet">
    <worksheetSource name="Table1214"/>
  </cacheSource>
  <cacheFields count="13">
    <cacheField name="set" numFmtId="0">
      <sharedItems containsMixedTypes="1" containsNumber="1" containsInteger="1" minValue="1" maxValue="4"/>
    </cacheField>
    <cacheField name="trial" numFmtId="0">
      <sharedItems containsString="0" containsBlank="1" containsNumber="1" containsInteger="1" minValue="1" maxValue="415"/>
    </cacheField>
    <cacheField name="sequence" numFmtId="0">
      <sharedItems containsString="0" containsBlank="1" containsNumber="1" containsInteger="1" minValue="1" maxValue="2"/>
    </cacheField>
    <cacheField name="modality" numFmtId="0">
      <sharedItems count="3">
        <s v="speak"/>
        <s v="type"/>
        <s v="break"/>
      </sharedItems>
    </cacheField>
    <cacheField name="target" numFmtId="0">
      <sharedItems count="4">
        <s v="F"/>
        <s v="NT"/>
        <s v="T"/>
        <s v="break"/>
      </sharedItems>
    </cacheField>
    <cacheField name="repSwitch" numFmtId="0">
      <sharedItems containsBlank="1"/>
    </cacheField>
    <cacheField name="stimulus" numFmtId="0">
      <sharedItems containsBlank="1"/>
    </cacheField>
    <cacheField name="Additions" numFmtId="0">
      <sharedItems containsBlank="1"/>
    </cacheField>
    <cacheField name="baseline" numFmtId="0">
      <sharedItems containsBlank="1"/>
    </cacheField>
    <cacheField name="Previous_modality_same" numFmtId="0">
      <sharedItems containsSemiMixedTypes="0" containsString="0" containsNumber="1" containsInteger="1" minValue="0" maxValue="1" count="2">
        <n v="0"/>
        <n v="1"/>
      </sharedItems>
    </cacheField>
    <cacheField name="Next_item_same_item" numFmtId="0">
      <sharedItems containsSemiMixedTypes="0" containsString="0" containsNumber="1" containsInteger="1" minValue="0" maxValue="1"/>
    </cacheField>
    <cacheField name="Previous_is_target" numFmtId="0">
      <sharedItems containsSemiMixedTypes="0" containsString="0" containsNumber="1" containsInteger="1" minValue="0" maxValue="1" count="2">
        <n v="0"/>
        <n v="1"/>
      </sharedItems>
    </cacheField>
    <cacheField name="Previous_is_filler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rina Tsaroucha" refreshedDate="45112.538502083335" createdVersion="8" refreshedVersion="8" minRefreshableVersion="3" recordCount="425" xr:uid="{825FCDEC-704F-4B8E-B6F1-C52239F90301}">
  <cacheSource type="worksheet">
    <worksheetSource name="Table1214"/>
  </cacheSource>
  <cacheFields count="13">
    <cacheField name="set" numFmtId="0">
      <sharedItems containsMixedTypes="1" containsNumber="1" containsInteger="1" minValue="1" maxValue="4"/>
    </cacheField>
    <cacheField name="trial" numFmtId="0">
      <sharedItems containsString="0" containsBlank="1" containsNumber="1" containsInteger="1" minValue="1" maxValue="415"/>
    </cacheField>
    <cacheField name="sequence" numFmtId="0">
      <sharedItems containsString="0" containsBlank="1" containsNumber="1" containsInteger="1" minValue="1" maxValue="2"/>
    </cacheField>
    <cacheField name="modality" numFmtId="0">
      <sharedItems count="3">
        <s v="speak"/>
        <s v="type"/>
        <s v="break"/>
      </sharedItems>
    </cacheField>
    <cacheField name="target" numFmtId="0">
      <sharedItems/>
    </cacheField>
    <cacheField name="repSwitch" numFmtId="0">
      <sharedItems containsBlank="1"/>
    </cacheField>
    <cacheField name="stimulus" numFmtId="0">
      <sharedItems containsBlank="1"/>
    </cacheField>
    <cacheField name="Additions" numFmtId="0">
      <sharedItems containsBlank="1"/>
    </cacheField>
    <cacheField name="baseline" numFmtId="0">
      <sharedItems containsBlank="1"/>
    </cacheField>
    <cacheField name="Previous_modality_same" numFmtId="0">
      <sharedItems containsSemiMixedTypes="0" containsString="0" containsNumber="1" containsInteger="1" minValue="0" maxValue="1"/>
    </cacheField>
    <cacheField name="Next_item_same_item" numFmtId="0">
      <sharedItems containsSemiMixedTypes="0" containsString="0" containsNumber="1" containsInteger="1" minValue="0" maxValue="1"/>
    </cacheField>
    <cacheField name="Previous_is_target" numFmtId="0">
      <sharedItems containsSemiMixedTypes="0" containsString="0" containsNumber="1" containsInteger="1" minValue="0" maxValue="1"/>
    </cacheField>
    <cacheField name="Previous_is_filler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rina Tsaroucha" refreshedDate="45112.541160532404" createdVersion="8" refreshedVersion="8" minRefreshableVersion="3" recordCount="425" xr:uid="{F7AAC383-0011-43C2-80D8-299BA2563DB9}">
  <cacheSource type="worksheet">
    <worksheetSource name="Table1214"/>
  </cacheSource>
  <cacheFields count="13">
    <cacheField name="set" numFmtId="0">
      <sharedItems containsMixedTypes="1" containsNumber="1" containsInteger="1" minValue="1" maxValue="4"/>
    </cacheField>
    <cacheField name="trial" numFmtId="0">
      <sharedItems containsSemiMixedTypes="0" containsString="0" containsNumber="1" containsInteger="1" minValue="1" maxValue="425"/>
    </cacheField>
    <cacheField name="sequence" numFmtId="0">
      <sharedItems containsString="0" containsBlank="1" containsNumber="1" containsInteger="1" minValue="1" maxValue="2"/>
    </cacheField>
    <cacheField name="modality" numFmtId="0">
      <sharedItems count="3">
        <s v="speak"/>
        <s v="type"/>
        <s v="break"/>
      </sharedItems>
    </cacheField>
    <cacheField name="target" numFmtId="0">
      <sharedItems count="4">
        <s v="F"/>
        <s v="NT"/>
        <s v="T"/>
        <s v="break"/>
      </sharedItems>
    </cacheField>
    <cacheField name="repSwitch" numFmtId="0">
      <sharedItems containsBlank="1"/>
    </cacheField>
    <cacheField name="stimulus" numFmtId="0">
      <sharedItems containsBlank="1" count="33">
        <m/>
        <s v="Stim1_Set1"/>
        <s v="Stim1_Set4"/>
        <s v="Stim2_Set1"/>
        <s v="Stim2_Set4"/>
        <s v="Stim6_Set4"/>
        <s v="Stim3_Set1"/>
        <s v="Stim5_Set4"/>
        <s v="Stim4_Set1"/>
        <s v="Stim3_Set4"/>
        <s v="Stim5_Set1"/>
        <s v="Stim4_Set4"/>
        <s v="Stim6_Set1"/>
        <s v="Stim7_Set4"/>
        <s v="Stim7_Set1"/>
        <s v="Stim8_Set4"/>
        <s v="Stim8_Set1"/>
        <s v="Stim1_Set2"/>
        <s v="Stim2_Set2"/>
        <s v="Stim3_Set2"/>
        <s v="Stim4_Set2"/>
        <s v="Stim5_Set2"/>
        <s v="Stim6_Set2"/>
        <s v="Stim7_Set2"/>
        <s v="Stim8_Set2"/>
        <s v="Stim1_Set3"/>
        <s v="Stim2_Set3"/>
        <s v="Stim3_Set3"/>
        <s v="Stim4_Set3"/>
        <s v="Stim5_Set3"/>
        <s v="Stim6_Set3"/>
        <s v="Stim7_Set3"/>
        <s v="Stim8_Set3"/>
      </sharedItems>
    </cacheField>
    <cacheField name="Additions" numFmtId="0">
      <sharedItems containsBlank="1"/>
    </cacheField>
    <cacheField name="baseline" numFmtId="0">
      <sharedItems containsBlank="1"/>
    </cacheField>
    <cacheField name="Previous_modality_same" numFmtId="0">
      <sharedItems containsSemiMixedTypes="0" containsString="0" containsNumber="1" containsInteger="1" minValue="0" maxValue="1"/>
    </cacheField>
    <cacheField name="Next_item_same_item" numFmtId="0">
      <sharedItems containsSemiMixedTypes="0" containsString="0" containsNumber="1" containsInteger="1" minValue="0" maxValue="1"/>
    </cacheField>
    <cacheField name="Previous_is_target" numFmtId="0">
      <sharedItems containsSemiMixedTypes="0" containsString="0" containsNumber="1" containsInteger="1" minValue="0" maxValue="1"/>
    </cacheField>
    <cacheField name="Previous_is_filler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5">
  <r>
    <n v="1"/>
    <n v="1"/>
    <n v="2"/>
    <x v="0"/>
    <x v="0"/>
    <s v="filler"/>
    <m/>
    <m/>
    <m/>
    <x v="0"/>
    <n v="0"/>
    <x v="0"/>
    <x v="0"/>
  </r>
  <r>
    <n v="1"/>
    <n v="2"/>
    <n v="2"/>
    <x v="0"/>
    <x v="1"/>
    <s v="nontarget"/>
    <s v="Stim1_Set1"/>
    <m/>
    <s v="yes"/>
    <x v="1"/>
    <n v="1"/>
    <x v="0"/>
    <x v="1"/>
  </r>
  <r>
    <n v="1"/>
    <n v="3"/>
    <n v="2"/>
    <x v="0"/>
    <x v="2"/>
    <s v="repeat"/>
    <s v="Stim1_Set1"/>
    <m/>
    <s v="no"/>
    <x v="1"/>
    <n v="0"/>
    <x v="0"/>
    <x v="0"/>
  </r>
  <r>
    <n v="1"/>
    <n v="4"/>
    <n v="1"/>
    <x v="1"/>
    <x v="0"/>
    <s v="filler"/>
    <s v="Stim1_Set4"/>
    <m/>
    <m/>
    <x v="0"/>
    <n v="0"/>
    <x v="1"/>
    <x v="0"/>
  </r>
  <r>
    <n v="1"/>
    <n v="5"/>
    <n v="2"/>
    <x v="0"/>
    <x v="1"/>
    <s v="nontarget"/>
    <s v="Stim2_Set1"/>
    <m/>
    <s v="yes"/>
    <x v="0"/>
    <n v="1"/>
    <x v="0"/>
    <x v="1"/>
  </r>
  <r>
    <n v="1"/>
    <n v="6"/>
    <n v="2"/>
    <x v="0"/>
    <x v="2"/>
    <s v="repeat"/>
    <s v="Stim2_Set1"/>
    <m/>
    <s v="no"/>
    <x v="1"/>
    <n v="0"/>
    <x v="0"/>
    <x v="0"/>
  </r>
  <r>
    <n v="1"/>
    <n v="7"/>
    <n v="1"/>
    <x v="1"/>
    <x v="0"/>
    <s v="filler"/>
    <s v="Stim2_Set4"/>
    <m/>
    <m/>
    <x v="0"/>
    <n v="0"/>
    <x v="1"/>
    <x v="0"/>
  </r>
  <r>
    <n v="1"/>
    <m/>
    <n v="1"/>
    <x v="1"/>
    <x v="0"/>
    <s v="filler"/>
    <s v="Stim6_Set4"/>
    <m/>
    <s v="yes"/>
    <x v="1"/>
    <n v="0"/>
    <x v="0"/>
    <x v="1"/>
  </r>
  <r>
    <n v="1"/>
    <n v="8"/>
    <n v="2"/>
    <x v="0"/>
    <x v="1"/>
    <s v="nontarget"/>
    <s v="Stim3_Set1"/>
    <m/>
    <s v="yes"/>
    <x v="0"/>
    <n v="1"/>
    <x v="0"/>
    <x v="1"/>
  </r>
  <r>
    <n v="1"/>
    <n v="9"/>
    <n v="1"/>
    <x v="1"/>
    <x v="2"/>
    <s v="switch"/>
    <s v="Stim3_Set1"/>
    <m/>
    <s v="no"/>
    <x v="0"/>
    <n v="0"/>
    <x v="0"/>
    <x v="0"/>
  </r>
  <r>
    <n v="1"/>
    <n v="10"/>
    <n v="2"/>
    <x v="0"/>
    <x v="0"/>
    <s v="filler"/>
    <s v="Stim5_Set4"/>
    <m/>
    <m/>
    <x v="0"/>
    <n v="0"/>
    <x v="1"/>
    <x v="0"/>
  </r>
  <r>
    <n v="1"/>
    <n v="11"/>
    <n v="1"/>
    <x v="1"/>
    <x v="1"/>
    <s v="nontarget"/>
    <s v="Stim4_Set1"/>
    <m/>
    <s v="yes"/>
    <x v="0"/>
    <n v="1"/>
    <x v="0"/>
    <x v="1"/>
  </r>
  <r>
    <n v="1"/>
    <n v="12"/>
    <n v="2"/>
    <x v="0"/>
    <x v="2"/>
    <s v="switch"/>
    <s v="Stim4_Set1"/>
    <m/>
    <s v="no"/>
    <x v="0"/>
    <n v="0"/>
    <x v="0"/>
    <x v="0"/>
  </r>
  <r>
    <n v="1"/>
    <n v="13"/>
    <n v="2"/>
    <x v="0"/>
    <x v="0"/>
    <s v="filler"/>
    <s v="Stim3_Set4"/>
    <m/>
    <m/>
    <x v="1"/>
    <n v="0"/>
    <x v="1"/>
    <x v="0"/>
  </r>
  <r>
    <n v="1"/>
    <n v="14"/>
    <n v="2"/>
    <x v="0"/>
    <x v="1"/>
    <s v="nontarget"/>
    <s v="Stim5_Set1"/>
    <m/>
    <s v="yes"/>
    <x v="1"/>
    <n v="1"/>
    <x v="0"/>
    <x v="1"/>
  </r>
  <r>
    <n v="1"/>
    <n v="15"/>
    <n v="1"/>
    <x v="1"/>
    <x v="2"/>
    <s v="switch"/>
    <s v="Stim5_Set1"/>
    <m/>
    <s v="no"/>
    <x v="0"/>
    <n v="0"/>
    <x v="0"/>
    <x v="0"/>
  </r>
  <r>
    <n v="1"/>
    <n v="16"/>
    <n v="2"/>
    <x v="0"/>
    <x v="0"/>
    <s v="filler"/>
    <s v="Stim4_Set4"/>
    <m/>
    <m/>
    <x v="0"/>
    <n v="0"/>
    <x v="1"/>
    <x v="0"/>
  </r>
  <r>
    <n v="1"/>
    <n v="17"/>
    <n v="1"/>
    <x v="1"/>
    <x v="1"/>
    <s v="nontarget"/>
    <s v="Stim6_Set1"/>
    <m/>
    <s v="yes"/>
    <x v="0"/>
    <n v="1"/>
    <x v="0"/>
    <x v="1"/>
  </r>
  <r>
    <n v="1"/>
    <n v="18"/>
    <n v="1"/>
    <x v="1"/>
    <x v="2"/>
    <s v="repeat"/>
    <s v="Stim6_Set1"/>
    <m/>
    <s v="no"/>
    <x v="1"/>
    <n v="0"/>
    <x v="0"/>
    <x v="0"/>
  </r>
  <r>
    <n v="1"/>
    <n v="19"/>
    <n v="1"/>
    <x v="1"/>
    <x v="0"/>
    <s v="filler"/>
    <s v="Stim7_Set4"/>
    <m/>
    <m/>
    <x v="1"/>
    <n v="0"/>
    <x v="1"/>
    <x v="0"/>
  </r>
  <r>
    <n v="1"/>
    <n v="20"/>
    <n v="1"/>
    <x v="1"/>
    <x v="1"/>
    <s v="nontarget"/>
    <s v="Stim7_Set1"/>
    <m/>
    <s v="yes"/>
    <x v="1"/>
    <n v="1"/>
    <x v="0"/>
    <x v="1"/>
  </r>
  <r>
    <n v="1"/>
    <n v="21"/>
    <n v="1"/>
    <x v="1"/>
    <x v="2"/>
    <s v="repeat"/>
    <s v="Stim7_Set1"/>
    <m/>
    <s v="no"/>
    <x v="1"/>
    <n v="0"/>
    <x v="0"/>
    <x v="0"/>
  </r>
  <r>
    <n v="1"/>
    <n v="22"/>
    <n v="2"/>
    <x v="0"/>
    <x v="0"/>
    <s v="filler"/>
    <s v="Stim6_Set4"/>
    <m/>
    <m/>
    <x v="0"/>
    <n v="0"/>
    <x v="1"/>
    <x v="0"/>
  </r>
  <r>
    <n v="1"/>
    <n v="23"/>
    <n v="2"/>
    <x v="0"/>
    <x v="0"/>
    <s v="filler"/>
    <s v="Stim2_Set4"/>
    <m/>
    <s v="yes"/>
    <x v="1"/>
    <n v="0"/>
    <x v="0"/>
    <x v="1"/>
  </r>
  <r>
    <n v="1"/>
    <n v="24"/>
    <n v="1"/>
    <x v="1"/>
    <x v="0"/>
    <s v="filler"/>
    <s v="Stim8_Set4"/>
    <m/>
    <s v="yes"/>
    <x v="0"/>
    <n v="0"/>
    <x v="0"/>
    <x v="1"/>
  </r>
  <r>
    <n v="1"/>
    <n v="25"/>
    <n v="1"/>
    <x v="1"/>
    <x v="1"/>
    <s v="nontarget"/>
    <s v="Stim8_Set1"/>
    <m/>
    <s v="yes"/>
    <x v="1"/>
    <n v="1"/>
    <x v="0"/>
    <x v="1"/>
  </r>
  <r>
    <n v="1"/>
    <n v="26"/>
    <n v="2"/>
    <x v="0"/>
    <x v="2"/>
    <s v="switch"/>
    <s v="Stim8_Set1"/>
    <m/>
    <s v="no"/>
    <x v="0"/>
    <n v="0"/>
    <x v="0"/>
    <x v="0"/>
  </r>
  <r>
    <n v="2"/>
    <n v="27"/>
    <n v="2"/>
    <x v="0"/>
    <x v="0"/>
    <s v="filler"/>
    <s v="Stim1_Set1"/>
    <m/>
    <m/>
    <x v="1"/>
    <n v="0"/>
    <x v="1"/>
    <x v="0"/>
  </r>
  <r>
    <n v="2"/>
    <n v="28"/>
    <n v="1"/>
    <x v="1"/>
    <x v="1"/>
    <s v="nontarget"/>
    <s v="Stim1_Set2"/>
    <m/>
    <s v="yes"/>
    <x v="0"/>
    <n v="1"/>
    <x v="0"/>
    <x v="1"/>
  </r>
  <r>
    <n v="2"/>
    <n v="29"/>
    <n v="1"/>
    <x v="1"/>
    <x v="2"/>
    <s v="repeat"/>
    <s v="Stim1_Set2"/>
    <m/>
    <s v="no"/>
    <x v="1"/>
    <n v="0"/>
    <x v="0"/>
    <x v="0"/>
  </r>
  <r>
    <n v="2"/>
    <n v="30"/>
    <n v="2"/>
    <x v="0"/>
    <x v="0"/>
    <s v="filler"/>
    <s v="Stim2_Set1"/>
    <m/>
    <m/>
    <x v="0"/>
    <n v="0"/>
    <x v="1"/>
    <x v="0"/>
  </r>
  <r>
    <n v="2"/>
    <n v="31"/>
    <n v="1"/>
    <x v="1"/>
    <x v="1"/>
    <s v="nontarget"/>
    <s v="Stim2_Set2"/>
    <m/>
    <s v="yes"/>
    <x v="0"/>
    <n v="1"/>
    <x v="0"/>
    <x v="1"/>
  </r>
  <r>
    <n v="2"/>
    <n v="32"/>
    <n v="1"/>
    <x v="1"/>
    <x v="2"/>
    <s v="repeat"/>
    <s v="Stim2_Set2"/>
    <m/>
    <s v="no"/>
    <x v="1"/>
    <n v="0"/>
    <x v="0"/>
    <x v="0"/>
  </r>
  <r>
    <n v="2"/>
    <n v="33"/>
    <n v="2"/>
    <x v="0"/>
    <x v="0"/>
    <s v="filler"/>
    <s v="Stim4_Set1"/>
    <m/>
    <m/>
    <x v="0"/>
    <n v="0"/>
    <x v="1"/>
    <x v="0"/>
  </r>
  <r>
    <n v="2"/>
    <n v="34"/>
    <n v="2"/>
    <x v="0"/>
    <x v="0"/>
    <s v="filler"/>
    <s v="Stim3_Set1"/>
    <m/>
    <s v="yes"/>
    <x v="1"/>
    <n v="0"/>
    <x v="0"/>
    <x v="1"/>
  </r>
  <r>
    <n v="2"/>
    <n v="35"/>
    <n v="1"/>
    <x v="1"/>
    <x v="1"/>
    <s v="nontarget"/>
    <s v="Stim3_Set2"/>
    <m/>
    <s v="yes"/>
    <x v="0"/>
    <n v="1"/>
    <x v="0"/>
    <x v="1"/>
  </r>
  <r>
    <n v="2"/>
    <n v="36"/>
    <n v="2"/>
    <x v="0"/>
    <x v="2"/>
    <s v="switch"/>
    <s v="Stim3_Set2"/>
    <m/>
    <s v="no"/>
    <x v="0"/>
    <n v="0"/>
    <x v="0"/>
    <x v="0"/>
  </r>
  <r>
    <n v="2"/>
    <n v="37"/>
    <n v="2"/>
    <x v="0"/>
    <x v="1"/>
    <s v="nontarget"/>
    <s v="Stim4_Set2"/>
    <m/>
    <s v="yes"/>
    <x v="1"/>
    <n v="1"/>
    <x v="1"/>
    <x v="0"/>
  </r>
  <r>
    <n v="2"/>
    <n v="38"/>
    <n v="1"/>
    <x v="1"/>
    <x v="2"/>
    <s v="switch"/>
    <s v="Stim4_Set2"/>
    <m/>
    <s v="no"/>
    <x v="0"/>
    <n v="0"/>
    <x v="0"/>
    <x v="0"/>
  </r>
  <r>
    <n v="2"/>
    <n v="39"/>
    <n v="1"/>
    <x v="1"/>
    <x v="0"/>
    <s v="filler"/>
    <s v="Stim3_Set1"/>
    <m/>
    <m/>
    <x v="1"/>
    <n v="0"/>
    <x v="1"/>
    <x v="0"/>
  </r>
  <r>
    <n v="2"/>
    <n v="40"/>
    <n v="1"/>
    <x v="1"/>
    <x v="1"/>
    <s v="nontarget"/>
    <s v="Stim5_Set2"/>
    <m/>
    <s v="yes"/>
    <x v="1"/>
    <n v="1"/>
    <x v="0"/>
    <x v="1"/>
  </r>
  <r>
    <n v="2"/>
    <n v="41"/>
    <n v="2"/>
    <x v="0"/>
    <x v="2"/>
    <s v="switch"/>
    <s v="Stim5_Set2"/>
    <m/>
    <s v="no"/>
    <x v="0"/>
    <n v="0"/>
    <x v="0"/>
    <x v="0"/>
  </r>
  <r>
    <n v="2"/>
    <n v="42"/>
    <n v="1"/>
    <x v="1"/>
    <x v="0"/>
    <s v="filler"/>
    <s v="Stim7_Set1"/>
    <m/>
    <m/>
    <x v="0"/>
    <n v="0"/>
    <x v="1"/>
    <x v="0"/>
  </r>
  <r>
    <n v="2"/>
    <n v="43"/>
    <n v="2"/>
    <x v="0"/>
    <x v="0"/>
    <s v="filler"/>
    <s v="Stim5_Set1"/>
    <m/>
    <m/>
    <x v="0"/>
    <n v="0"/>
    <x v="0"/>
    <x v="1"/>
  </r>
  <r>
    <n v="2"/>
    <n v="44"/>
    <n v="2"/>
    <x v="0"/>
    <x v="1"/>
    <s v="nontarget"/>
    <s v="Stim6_Set2"/>
    <m/>
    <s v="yes"/>
    <x v="1"/>
    <n v="1"/>
    <x v="0"/>
    <x v="1"/>
  </r>
  <r>
    <n v="2"/>
    <n v="45"/>
    <n v="2"/>
    <x v="0"/>
    <x v="2"/>
    <s v="repeat"/>
    <s v="Stim6_Set2"/>
    <m/>
    <s v="no"/>
    <x v="1"/>
    <n v="0"/>
    <x v="0"/>
    <x v="0"/>
  </r>
  <r>
    <n v="2"/>
    <n v="46"/>
    <n v="1"/>
    <x v="1"/>
    <x v="0"/>
    <s v="filler"/>
    <s v="Stim6_Set1"/>
    <m/>
    <m/>
    <x v="0"/>
    <n v="0"/>
    <x v="1"/>
    <x v="0"/>
  </r>
  <r>
    <n v="2"/>
    <n v="47"/>
    <n v="2"/>
    <x v="0"/>
    <x v="1"/>
    <s v="nontarget"/>
    <s v="Stim7_Set2"/>
    <m/>
    <s v="yes"/>
    <x v="0"/>
    <n v="1"/>
    <x v="0"/>
    <x v="1"/>
  </r>
  <r>
    <n v="2"/>
    <n v="48"/>
    <n v="2"/>
    <x v="0"/>
    <x v="2"/>
    <s v="repeat"/>
    <s v="Stim7_Set2"/>
    <m/>
    <s v="no"/>
    <x v="1"/>
    <n v="0"/>
    <x v="0"/>
    <x v="0"/>
  </r>
  <r>
    <n v="2"/>
    <n v="49"/>
    <n v="1"/>
    <x v="1"/>
    <x v="0"/>
    <s v="filler"/>
    <m/>
    <s v="here"/>
    <m/>
    <x v="0"/>
    <n v="0"/>
    <x v="1"/>
    <x v="0"/>
  </r>
  <r>
    <n v="2"/>
    <m/>
    <n v="1"/>
    <x v="1"/>
    <x v="0"/>
    <s v="filler"/>
    <s v="Stim5_Set1"/>
    <m/>
    <s v="yes"/>
    <x v="1"/>
    <n v="1"/>
    <x v="0"/>
    <x v="1"/>
  </r>
  <r>
    <n v="2"/>
    <n v="50"/>
    <n v="2"/>
    <x v="0"/>
    <x v="0"/>
    <s v="filler"/>
    <s v="Stim8_Set1"/>
    <m/>
    <m/>
    <x v="0"/>
    <n v="0"/>
    <x v="0"/>
    <x v="1"/>
  </r>
  <r>
    <n v="2"/>
    <n v="51"/>
    <n v="2"/>
    <x v="0"/>
    <x v="1"/>
    <s v="nontarget"/>
    <s v="Stim8_Set2"/>
    <m/>
    <s v="yes"/>
    <x v="1"/>
    <n v="1"/>
    <x v="0"/>
    <x v="1"/>
  </r>
  <r>
    <n v="2"/>
    <n v="52"/>
    <n v="1"/>
    <x v="1"/>
    <x v="2"/>
    <s v="switch"/>
    <s v="Stim8_Set2"/>
    <m/>
    <s v="no"/>
    <x v="0"/>
    <n v="0"/>
    <x v="0"/>
    <x v="0"/>
  </r>
  <r>
    <n v="3"/>
    <n v="53"/>
    <n v="1"/>
    <x v="1"/>
    <x v="1"/>
    <s v="nontarget"/>
    <s v="Stim1_Set3"/>
    <m/>
    <s v="yes"/>
    <x v="1"/>
    <n v="1"/>
    <x v="1"/>
    <x v="0"/>
  </r>
  <r>
    <n v="3"/>
    <n v="54"/>
    <n v="2"/>
    <x v="0"/>
    <x v="2"/>
    <s v="switch"/>
    <s v="Stim1_Set3"/>
    <m/>
    <s v="no"/>
    <x v="0"/>
    <n v="0"/>
    <x v="0"/>
    <x v="0"/>
  </r>
  <r>
    <n v="3"/>
    <n v="55"/>
    <n v="2"/>
    <x v="0"/>
    <x v="0"/>
    <s v="filler"/>
    <m/>
    <s v="here"/>
    <m/>
    <x v="1"/>
    <n v="0"/>
    <x v="1"/>
    <x v="0"/>
  </r>
  <r>
    <n v="3"/>
    <n v="56"/>
    <n v="2"/>
    <x v="0"/>
    <x v="1"/>
    <s v="nontarget"/>
    <s v="Stim2_Set3"/>
    <m/>
    <s v="yes"/>
    <x v="1"/>
    <n v="1"/>
    <x v="0"/>
    <x v="1"/>
  </r>
  <r>
    <n v="3"/>
    <n v="57"/>
    <n v="1"/>
    <x v="1"/>
    <x v="2"/>
    <s v="switch"/>
    <s v="Stim2_Set3"/>
    <m/>
    <s v="no"/>
    <x v="0"/>
    <n v="0"/>
    <x v="0"/>
    <x v="0"/>
  </r>
  <r>
    <n v="3"/>
    <n v="58"/>
    <n v="1"/>
    <x v="1"/>
    <x v="0"/>
    <s v="filler"/>
    <s v="Stim1_Set2"/>
    <m/>
    <m/>
    <x v="1"/>
    <n v="0"/>
    <x v="1"/>
    <x v="0"/>
  </r>
  <r>
    <n v="3"/>
    <n v="59"/>
    <n v="1"/>
    <x v="1"/>
    <x v="1"/>
    <s v="nontarget"/>
    <s v="Stim3_Set3"/>
    <m/>
    <s v="yes"/>
    <x v="1"/>
    <n v="1"/>
    <x v="0"/>
    <x v="1"/>
  </r>
  <r>
    <n v="3"/>
    <n v="60"/>
    <n v="2"/>
    <x v="0"/>
    <x v="2"/>
    <s v="switch"/>
    <s v="Stim3_Set3"/>
    <m/>
    <s v="no"/>
    <x v="0"/>
    <n v="0"/>
    <x v="0"/>
    <x v="0"/>
  </r>
  <r>
    <n v="3"/>
    <n v="61"/>
    <n v="2"/>
    <x v="0"/>
    <x v="0"/>
    <s v="filler"/>
    <s v="Stim2_Set2"/>
    <m/>
    <m/>
    <x v="1"/>
    <n v="0"/>
    <x v="1"/>
    <x v="0"/>
  </r>
  <r>
    <n v="3"/>
    <n v="62"/>
    <n v="1"/>
    <x v="1"/>
    <x v="0"/>
    <s v="filler"/>
    <s v="Stim4_Set2"/>
    <m/>
    <s v="yes"/>
    <x v="0"/>
    <n v="0"/>
    <x v="0"/>
    <x v="1"/>
  </r>
  <r>
    <n v="3"/>
    <n v="63"/>
    <n v="2"/>
    <x v="0"/>
    <x v="1"/>
    <s v="nontarget"/>
    <s v="Stim4_Set3"/>
    <m/>
    <s v="yes"/>
    <x v="0"/>
    <n v="1"/>
    <x v="0"/>
    <x v="1"/>
  </r>
  <r>
    <n v="3"/>
    <n v="64"/>
    <n v="2"/>
    <x v="0"/>
    <x v="2"/>
    <s v="repeat"/>
    <s v="Stim4_Set3"/>
    <m/>
    <s v="no"/>
    <x v="1"/>
    <n v="0"/>
    <x v="0"/>
    <x v="0"/>
  </r>
  <r>
    <n v="3"/>
    <n v="65"/>
    <n v="1"/>
    <x v="1"/>
    <x v="0"/>
    <s v="filler"/>
    <s v="Stim3_Set2"/>
    <m/>
    <m/>
    <x v="0"/>
    <n v="0"/>
    <x v="1"/>
    <x v="0"/>
  </r>
  <r>
    <n v="3"/>
    <n v="66"/>
    <n v="2"/>
    <x v="0"/>
    <x v="0"/>
    <s v="filler"/>
    <s v="Stim5_Set2"/>
    <m/>
    <m/>
    <x v="0"/>
    <n v="0"/>
    <x v="0"/>
    <x v="1"/>
  </r>
  <r>
    <n v="3"/>
    <n v="67"/>
    <n v="2"/>
    <x v="0"/>
    <x v="1"/>
    <s v="nontarget"/>
    <s v="Stim5_Set3"/>
    <m/>
    <s v="yes"/>
    <x v="1"/>
    <n v="1"/>
    <x v="0"/>
    <x v="1"/>
  </r>
  <r>
    <n v="3"/>
    <n v="68"/>
    <n v="2"/>
    <x v="0"/>
    <x v="2"/>
    <s v="repeat"/>
    <s v="Stim5_Set3"/>
    <m/>
    <s v="no"/>
    <x v="1"/>
    <n v="0"/>
    <x v="0"/>
    <x v="0"/>
  </r>
  <r>
    <n v="3"/>
    <n v="69"/>
    <n v="1"/>
    <x v="1"/>
    <x v="0"/>
    <s v="filler"/>
    <m/>
    <s v="here"/>
    <m/>
    <x v="0"/>
    <n v="0"/>
    <x v="1"/>
    <x v="0"/>
  </r>
  <r>
    <n v="3"/>
    <m/>
    <n v="1"/>
    <x v="1"/>
    <x v="0"/>
    <s v="filler"/>
    <s v="Stim2_Set2"/>
    <m/>
    <s v="yes"/>
    <x v="1"/>
    <n v="0"/>
    <x v="0"/>
    <x v="1"/>
  </r>
  <r>
    <n v="3"/>
    <n v="70"/>
    <n v="2"/>
    <x v="0"/>
    <x v="1"/>
    <s v="nontarget"/>
    <s v="Stim6_Set3"/>
    <m/>
    <s v="yes"/>
    <x v="0"/>
    <n v="1"/>
    <x v="0"/>
    <x v="1"/>
  </r>
  <r>
    <n v="3"/>
    <n v="71"/>
    <n v="1"/>
    <x v="1"/>
    <x v="2"/>
    <s v="switch"/>
    <s v="Stim6_Set3"/>
    <m/>
    <s v="no"/>
    <x v="0"/>
    <n v="0"/>
    <x v="0"/>
    <x v="0"/>
  </r>
  <r>
    <n v="3"/>
    <n v="72"/>
    <n v="2"/>
    <x v="0"/>
    <x v="0"/>
    <s v="filler"/>
    <s v="Stim6_Set2"/>
    <m/>
    <m/>
    <x v="0"/>
    <n v="0"/>
    <x v="1"/>
    <x v="0"/>
  </r>
  <r>
    <n v="3"/>
    <n v="73"/>
    <n v="1"/>
    <x v="1"/>
    <x v="1"/>
    <s v="nontarget"/>
    <s v="Stim7_Set3"/>
    <m/>
    <s v="yes"/>
    <x v="0"/>
    <n v="1"/>
    <x v="0"/>
    <x v="1"/>
  </r>
  <r>
    <n v="3"/>
    <n v="74"/>
    <n v="1"/>
    <x v="1"/>
    <x v="2"/>
    <s v="repeat"/>
    <s v="Stim7_Set3"/>
    <m/>
    <s v="no"/>
    <x v="1"/>
    <n v="0"/>
    <x v="0"/>
    <x v="0"/>
  </r>
  <r>
    <n v="3"/>
    <n v="75"/>
    <n v="2"/>
    <x v="0"/>
    <x v="0"/>
    <s v="filler"/>
    <s v="Stim7_Set2"/>
    <m/>
    <m/>
    <x v="0"/>
    <n v="0"/>
    <x v="1"/>
    <x v="0"/>
  </r>
  <r>
    <n v="3"/>
    <n v="76"/>
    <n v="1"/>
    <x v="1"/>
    <x v="0"/>
    <s v="filler"/>
    <s v="Stim8_Set2"/>
    <m/>
    <m/>
    <x v="0"/>
    <n v="0"/>
    <x v="0"/>
    <x v="1"/>
  </r>
  <r>
    <n v="3"/>
    <n v="77"/>
    <n v="1"/>
    <x v="1"/>
    <x v="1"/>
    <s v="nontarget"/>
    <s v="Stim8_Set3"/>
    <m/>
    <s v="yes"/>
    <x v="1"/>
    <n v="1"/>
    <x v="0"/>
    <x v="1"/>
  </r>
  <r>
    <n v="3"/>
    <n v="78"/>
    <n v="1"/>
    <x v="1"/>
    <x v="2"/>
    <s v="repeat"/>
    <s v="Stim8_Set3"/>
    <m/>
    <s v="no"/>
    <x v="1"/>
    <n v="0"/>
    <x v="0"/>
    <x v="0"/>
  </r>
  <r>
    <n v="4"/>
    <n v="79"/>
    <n v="2"/>
    <x v="0"/>
    <x v="0"/>
    <s v="filler"/>
    <s v="Stim1_Set3"/>
    <m/>
    <m/>
    <x v="0"/>
    <n v="0"/>
    <x v="1"/>
    <x v="0"/>
  </r>
  <r>
    <n v="4"/>
    <n v="80"/>
    <n v="1"/>
    <x v="1"/>
    <x v="1"/>
    <s v="nontarget"/>
    <s v="Stim1_Set4"/>
    <m/>
    <s v="yes"/>
    <x v="0"/>
    <n v="1"/>
    <x v="0"/>
    <x v="1"/>
  </r>
  <r>
    <n v="4"/>
    <n v="81"/>
    <n v="1"/>
    <x v="1"/>
    <x v="2"/>
    <s v="repeat"/>
    <s v="Stim1_Set4"/>
    <m/>
    <s v="no"/>
    <x v="1"/>
    <n v="0"/>
    <x v="0"/>
    <x v="0"/>
  </r>
  <r>
    <n v="4"/>
    <n v="82"/>
    <n v="1"/>
    <x v="1"/>
    <x v="1"/>
    <s v="nontarget"/>
    <s v="Stim2_Set4"/>
    <m/>
    <s v="yes"/>
    <x v="1"/>
    <n v="1"/>
    <x v="1"/>
    <x v="0"/>
  </r>
  <r>
    <n v="4"/>
    <n v="83"/>
    <n v="2"/>
    <x v="0"/>
    <x v="2"/>
    <s v="switch"/>
    <s v="Stim2_Set4"/>
    <m/>
    <s v="no"/>
    <x v="0"/>
    <n v="0"/>
    <x v="0"/>
    <x v="0"/>
  </r>
  <r>
    <n v="4"/>
    <n v="84"/>
    <n v="2"/>
    <x v="0"/>
    <x v="0"/>
    <s v="filler"/>
    <s v="Stim3_Set3"/>
    <m/>
    <m/>
    <x v="1"/>
    <n v="0"/>
    <x v="1"/>
    <x v="0"/>
  </r>
  <r>
    <n v="4"/>
    <n v="85"/>
    <n v="1"/>
    <x v="1"/>
    <x v="0"/>
    <s v="filler"/>
    <s v="Stim2_Set3"/>
    <m/>
    <s v="yes"/>
    <x v="0"/>
    <n v="0"/>
    <x v="0"/>
    <x v="1"/>
  </r>
  <r>
    <n v="4"/>
    <n v="86"/>
    <n v="2"/>
    <x v="0"/>
    <x v="1"/>
    <s v="nontarget"/>
    <s v="Stim3_Set4"/>
    <m/>
    <s v="yes"/>
    <x v="0"/>
    <n v="1"/>
    <x v="0"/>
    <x v="1"/>
  </r>
  <r>
    <n v="4"/>
    <n v="87"/>
    <n v="2"/>
    <x v="0"/>
    <x v="2"/>
    <s v="repeat"/>
    <s v="Stim3_Set4"/>
    <m/>
    <s v="no"/>
    <x v="1"/>
    <n v="0"/>
    <x v="0"/>
    <x v="0"/>
  </r>
  <r>
    <n v="4"/>
    <n v="88"/>
    <n v="2"/>
    <x v="0"/>
    <x v="1"/>
    <s v="nontarget"/>
    <s v="Stim4_Set4"/>
    <m/>
    <s v="yes"/>
    <x v="1"/>
    <n v="1"/>
    <x v="1"/>
    <x v="0"/>
  </r>
  <r>
    <n v="4"/>
    <n v="89"/>
    <n v="1"/>
    <x v="1"/>
    <x v="2"/>
    <s v="switch"/>
    <s v="Stim4_Set4"/>
    <m/>
    <s v="no"/>
    <x v="0"/>
    <n v="0"/>
    <x v="0"/>
    <x v="0"/>
  </r>
  <r>
    <n v="4"/>
    <n v="90"/>
    <n v="2"/>
    <x v="0"/>
    <x v="0"/>
    <s v="filler"/>
    <s v="Stim4_Set3"/>
    <m/>
    <m/>
    <x v="0"/>
    <n v="0"/>
    <x v="1"/>
    <x v="0"/>
  </r>
  <r>
    <n v="4"/>
    <m/>
    <n v="2"/>
    <x v="0"/>
    <x v="0"/>
    <s v="filler"/>
    <s v="Stim6_Set3"/>
    <m/>
    <s v="yes"/>
    <x v="1"/>
    <n v="0"/>
    <x v="0"/>
    <x v="1"/>
  </r>
  <r>
    <n v="4"/>
    <n v="91"/>
    <n v="1"/>
    <x v="1"/>
    <x v="0"/>
    <s v="filler"/>
    <s v="Stim5_Set3"/>
    <m/>
    <m/>
    <x v="0"/>
    <n v="0"/>
    <x v="0"/>
    <x v="1"/>
  </r>
  <r>
    <n v="4"/>
    <n v="92"/>
    <n v="1"/>
    <x v="1"/>
    <x v="1"/>
    <s v="nontarget"/>
    <s v="Stim5_Set4"/>
    <m/>
    <s v="yes"/>
    <x v="1"/>
    <n v="1"/>
    <x v="0"/>
    <x v="1"/>
  </r>
  <r>
    <n v="4"/>
    <n v="93"/>
    <n v="2"/>
    <x v="0"/>
    <x v="2"/>
    <s v="switch"/>
    <s v="Stim5_Set4"/>
    <m/>
    <s v="no"/>
    <x v="0"/>
    <n v="0"/>
    <x v="0"/>
    <x v="0"/>
  </r>
  <r>
    <n v="4"/>
    <n v="94"/>
    <n v="2"/>
    <x v="0"/>
    <x v="1"/>
    <s v="nontarget"/>
    <s v="Stim6_Set4"/>
    <m/>
    <s v="yes"/>
    <x v="1"/>
    <n v="1"/>
    <x v="1"/>
    <x v="0"/>
  </r>
  <r>
    <n v="4"/>
    <n v="95"/>
    <n v="2"/>
    <x v="0"/>
    <x v="2"/>
    <s v="repeat"/>
    <s v="Stim6_Set4"/>
    <m/>
    <s v="no"/>
    <x v="1"/>
    <n v="0"/>
    <x v="0"/>
    <x v="0"/>
  </r>
  <r>
    <n v="4"/>
    <n v="96"/>
    <n v="1"/>
    <x v="1"/>
    <x v="0"/>
    <s v="filler"/>
    <m/>
    <s v="here"/>
    <m/>
    <x v="0"/>
    <n v="0"/>
    <x v="1"/>
    <x v="0"/>
  </r>
  <r>
    <n v="4"/>
    <n v="97"/>
    <n v="2"/>
    <x v="0"/>
    <x v="0"/>
    <s v="filler"/>
    <s v="Stim7_Set3"/>
    <m/>
    <m/>
    <x v="0"/>
    <n v="0"/>
    <x v="0"/>
    <x v="1"/>
  </r>
  <r>
    <n v="4"/>
    <n v="98"/>
    <n v="2"/>
    <x v="0"/>
    <x v="1"/>
    <s v="nontarget"/>
    <s v="Stim7_Set4"/>
    <m/>
    <s v="yes"/>
    <x v="1"/>
    <n v="1"/>
    <x v="0"/>
    <x v="1"/>
  </r>
  <r>
    <n v="4"/>
    <n v="99"/>
    <n v="1"/>
    <x v="1"/>
    <x v="2"/>
    <s v="switch"/>
    <s v="Stim7_Set4"/>
    <m/>
    <s v="no"/>
    <x v="0"/>
    <n v="0"/>
    <x v="0"/>
    <x v="0"/>
  </r>
  <r>
    <n v="4"/>
    <n v="100"/>
    <n v="1"/>
    <x v="1"/>
    <x v="1"/>
    <s v="nontarget"/>
    <s v="Stim8_Set4"/>
    <m/>
    <s v="yes"/>
    <x v="1"/>
    <n v="1"/>
    <x v="1"/>
    <x v="0"/>
  </r>
  <r>
    <n v="4"/>
    <n v="101"/>
    <n v="1"/>
    <x v="1"/>
    <x v="2"/>
    <s v="repeat"/>
    <s v="Stim8_Set4"/>
    <m/>
    <s v="no"/>
    <x v="1"/>
    <n v="0"/>
    <x v="0"/>
    <x v="0"/>
  </r>
  <r>
    <n v="4"/>
    <n v="102"/>
    <n v="1"/>
    <x v="0"/>
    <x v="0"/>
    <s v="filler"/>
    <s v="Stim8_Set3"/>
    <m/>
    <m/>
    <x v="0"/>
    <n v="0"/>
    <x v="1"/>
    <x v="0"/>
  </r>
  <r>
    <n v="4"/>
    <n v="103"/>
    <n v="1"/>
    <x v="1"/>
    <x v="0"/>
    <s v="filler"/>
    <s v="Stim6_Set3"/>
    <m/>
    <m/>
    <x v="0"/>
    <n v="0"/>
    <x v="0"/>
    <x v="1"/>
  </r>
  <r>
    <s v="BREAK"/>
    <n v="104"/>
    <m/>
    <x v="2"/>
    <x v="3"/>
    <m/>
    <m/>
    <m/>
    <s v="no"/>
    <x v="0"/>
    <n v="0"/>
    <x v="0"/>
    <x v="1"/>
  </r>
  <r>
    <n v="1"/>
    <n v="105"/>
    <n v="2"/>
    <x v="0"/>
    <x v="1"/>
    <s v="nontarget"/>
    <s v="Stim4_Set1"/>
    <m/>
    <s v="yes"/>
    <x v="0"/>
    <n v="1"/>
    <x v="0"/>
    <x v="0"/>
  </r>
  <r>
    <n v="1"/>
    <n v="106"/>
    <n v="2"/>
    <x v="0"/>
    <x v="2"/>
    <s v="repeat"/>
    <s v="Stim4_Set1"/>
    <m/>
    <s v="no"/>
    <x v="1"/>
    <n v="0"/>
    <x v="0"/>
    <x v="0"/>
  </r>
  <r>
    <n v="1"/>
    <n v="107"/>
    <n v="1"/>
    <x v="1"/>
    <x v="0"/>
    <s v="filler"/>
    <s v="Stim3_Set4"/>
    <m/>
    <m/>
    <x v="0"/>
    <n v="0"/>
    <x v="1"/>
    <x v="0"/>
  </r>
  <r>
    <n v="1"/>
    <n v="108"/>
    <n v="2"/>
    <x v="0"/>
    <x v="1"/>
    <s v="nontarget"/>
    <s v="Stim3_Set1"/>
    <m/>
    <s v="yes"/>
    <x v="0"/>
    <n v="1"/>
    <x v="0"/>
    <x v="1"/>
  </r>
  <r>
    <n v="1"/>
    <n v="109"/>
    <n v="2"/>
    <x v="0"/>
    <x v="2"/>
    <s v="repeat"/>
    <s v="Stim3_Set1"/>
    <m/>
    <s v="no"/>
    <x v="1"/>
    <n v="0"/>
    <x v="0"/>
    <x v="0"/>
  </r>
  <r>
    <n v="1"/>
    <n v="110"/>
    <n v="1"/>
    <x v="1"/>
    <x v="0"/>
    <s v="filler"/>
    <m/>
    <s v="here"/>
    <m/>
    <x v="0"/>
    <n v="0"/>
    <x v="1"/>
    <x v="0"/>
  </r>
  <r>
    <n v="1"/>
    <n v="111"/>
    <n v="2"/>
    <x v="0"/>
    <x v="0"/>
    <s v="filler"/>
    <s v="Stim8_Set4"/>
    <m/>
    <m/>
    <x v="0"/>
    <n v="0"/>
    <x v="0"/>
    <x v="1"/>
  </r>
  <r>
    <n v="1"/>
    <n v="112"/>
    <n v="2"/>
    <x v="0"/>
    <x v="1"/>
    <s v="nontarget"/>
    <s v="Stim6_Set1"/>
    <m/>
    <s v="yes"/>
    <x v="1"/>
    <n v="1"/>
    <x v="0"/>
    <x v="1"/>
  </r>
  <r>
    <n v="1"/>
    <n v="113"/>
    <n v="1"/>
    <x v="1"/>
    <x v="2"/>
    <s v="switch"/>
    <s v="Stim6_Set1"/>
    <m/>
    <s v="no"/>
    <x v="0"/>
    <n v="0"/>
    <x v="0"/>
    <x v="0"/>
  </r>
  <r>
    <n v="1"/>
    <n v="114"/>
    <n v="1"/>
    <x v="1"/>
    <x v="0"/>
    <s v="filler"/>
    <s v="Stim4_Set4"/>
    <m/>
    <m/>
    <x v="1"/>
    <n v="0"/>
    <x v="1"/>
    <x v="0"/>
  </r>
  <r>
    <n v="1"/>
    <n v="115"/>
    <n v="1"/>
    <x v="1"/>
    <x v="1"/>
    <s v="nontarget"/>
    <s v="Stim2_Set1"/>
    <m/>
    <s v="yes"/>
    <x v="1"/>
    <n v="1"/>
    <x v="0"/>
    <x v="1"/>
  </r>
  <r>
    <n v="1"/>
    <n v="116"/>
    <n v="2"/>
    <x v="0"/>
    <x v="2"/>
    <s v="switch"/>
    <s v="Stim2_Set1"/>
    <m/>
    <s v="no"/>
    <x v="0"/>
    <n v="0"/>
    <x v="0"/>
    <x v="0"/>
  </r>
  <r>
    <n v="1"/>
    <n v="117"/>
    <n v="2"/>
    <x v="0"/>
    <x v="1"/>
    <s v="nontarget"/>
    <s v="Stim1_Set1"/>
    <m/>
    <s v="yes"/>
    <x v="1"/>
    <n v="1"/>
    <x v="1"/>
    <x v="0"/>
  </r>
  <r>
    <n v="1"/>
    <n v="118"/>
    <n v="1"/>
    <x v="1"/>
    <x v="2"/>
    <s v="switch"/>
    <s v="Stim1_Set1"/>
    <m/>
    <s v="no"/>
    <x v="0"/>
    <n v="0"/>
    <x v="0"/>
    <x v="0"/>
  </r>
  <r>
    <n v="1"/>
    <n v="119"/>
    <n v="2"/>
    <x v="0"/>
    <x v="0"/>
    <s v="filler"/>
    <s v="Stim2_Set4"/>
    <m/>
    <m/>
    <x v="0"/>
    <n v="0"/>
    <x v="1"/>
    <x v="0"/>
  </r>
  <r>
    <n v="1"/>
    <n v="120"/>
    <n v="1"/>
    <x v="1"/>
    <x v="1"/>
    <s v="nontarget"/>
    <s v="Stim8_Set1"/>
    <m/>
    <s v="yes"/>
    <x v="0"/>
    <n v="1"/>
    <x v="0"/>
    <x v="1"/>
  </r>
  <r>
    <n v="1"/>
    <n v="121"/>
    <n v="1"/>
    <x v="1"/>
    <x v="2"/>
    <s v="repeat"/>
    <s v="Stim8_Set1"/>
    <m/>
    <s v="no"/>
    <x v="1"/>
    <n v="0"/>
    <x v="0"/>
    <x v="0"/>
  </r>
  <r>
    <n v="1"/>
    <n v="122"/>
    <n v="2"/>
    <x v="0"/>
    <x v="0"/>
    <s v="filler"/>
    <s v="Stim7_Set4"/>
    <m/>
    <m/>
    <x v="0"/>
    <n v="0"/>
    <x v="1"/>
    <x v="0"/>
  </r>
  <r>
    <n v="1"/>
    <n v="123"/>
    <n v="1"/>
    <x v="1"/>
    <x v="1"/>
    <s v="nontarget"/>
    <s v="Stim5_Set1"/>
    <m/>
    <s v="yes"/>
    <x v="0"/>
    <n v="1"/>
    <x v="0"/>
    <x v="1"/>
  </r>
  <r>
    <n v="1"/>
    <n v="124"/>
    <n v="1"/>
    <x v="1"/>
    <x v="2"/>
    <s v="repeat"/>
    <s v="Stim5_Set1"/>
    <m/>
    <s v="no"/>
    <x v="1"/>
    <n v="0"/>
    <x v="0"/>
    <x v="0"/>
  </r>
  <r>
    <n v="1"/>
    <n v="125"/>
    <n v="2"/>
    <x v="0"/>
    <x v="0"/>
    <s v="filler"/>
    <s v="Stim1_Set4"/>
    <m/>
    <m/>
    <x v="0"/>
    <n v="0"/>
    <x v="1"/>
    <x v="0"/>
  </r>
  <r>
    <n v="1"/>
    <m/>
    <n v="2"/>
    <x v="0"/>
    <x v="0"/>
    <s v="filler"/>
    <s v="Stim4_Set4"/>
    <m/>
    <s v="yes"/>
    <x v="1"/>
    <n v="0"/>
    <x v="0"/>
    <x v="1"/>
  </r>
  <r>
    <n v="1"/>
    <n v="126"/>
    <n v="1"/>
    <x v="1"/>
    <x v="0"/>
    <s v="filler"/>
    <s v="Stim6_Set4"/>
    <m/>
    <s v="yes"/>
    <x v="0"/>
    <n v="0"/>
    <x v="0"/>
    <x v="1"/>
  </r>
  <r>
    <n v="1"/>
    <n v="127"/>
    <n v="1"/>
    <x v="1"/>
    <x v="1"/>
    <s v="nontarget"/>
    <s v="Stim7_Set1"/>
    <m/>
    <s v="yes"/>
    <x v="1"/>
    <n v="1"/>
    <x v="0"/>
    <x v="1"/>
  </r>
  <r>
    <n v="1"/>
    <n v="128"/>
    <n v="2"/>
    <x v="0"/>
    <x v="2"/>
    <s v="switch"/>
    <s v="Stim7_Set1"/>
    <m/>
    <s v="no"/>
    <x v="0"/>
    <n v="0"/>
    <x v="0"/>
    <x v="0"/>
  </r>
  <r>
    <n v="1"/>
    <n v="129"/>
    <n v="1"/>
    <x v="1"/>
    <x v="0"/>
    <s v="filler"/>
    <s v="Stim5_Set4"/>
    <m/>
    <m/>
    <x v="0"/>
    <n v="0"/>
    <x v="1"/>
    <x v="0"/>
  </r>
  <r>
    <n v="1"/>
    <n v="130"/>
    <n v="1"/>
    <x v="1"/>
    <x v="0"/>
    <s v="filler"/>
    <s v="Stim3_Set4"/>
    <m/>
    <s v="yes"/>
    <x v="1"/>
    <n v="0"/>
    <x v="0"/>
    <x v="1"/>
  </r>
  <r>
    <n v="2"/>
    <n v="131"/>
    <n v="1"/>
    <x v="1"/>
    <x v="1"/>
    <s v="nontarget"/>
    <s v="Stim5_Set2"/>
    <m/>
    <s v="yes"/>
    <x v="1"/>
    <n v="1"/>
    <x v="0"/>
    <x v="1"/>
  </r>
  <r>
    <n v="2"/>
    <n v="132"/>
    <n v="1"/>
    <x v="1"/>
    <x v="2"/>
    <s v="repeat"/>
    <s v="Stim5_Set2"/>
    <m/>
    <s v="no"/>
    <x v="1"/>
    <n v="0"/>
    <x v="0"/>
    <x v="0"/>
  </r>
  <r>
    <n v="2"/>
    <n v="133"/>
    <n v="2"/>
    <x v="0"/>
    <x v="0"/>
    <s v="filler"/>
    <s v="Stim4_Set1"/>
    <m/>
    <m/>
    <x v="0"/>
    <n v="0"/>
    <x v="1"/>
    <x v="0"/>
  </r>
  <r>
    <n v="2"/>
    <n v="134"/>
    <n v="1"/>
    <x v="1"/>
    <x v="1"/>
    <s v="nontarget"/>
    <s v="Stim3_Set2"/>
    <m/>
    <s v="yes"/>
    <x v="0"/>
    <n v="1"/>
    <x v="0"/>
    <x v="1"/>
  </r>
  <r>
    <n v="2"/>
    <n v="135"/>
    <n v="1"/>
    <x v="1"/>
    <x v="2"/>
    <s v="repeat"/>
    <s v="Stim3_Set2"/>
    <m/>
    <s v="no"/>
    <x v="1"/>
    <n v="0"/>
    <x v="0"/>
    <x v="0"/>
  </r>
  <r>
    <n v="2"/>
    <n v="136"/>
    <n v="1"/>
    <x v="1"/>
    <x v="1"/>
    <s v="nontarget"/>
    <s v="Stim1_Set2"/>
    <m/>
    <s v="yes"/>
    <x v="1"/>
    <n v="1"/>
    <x v="1"/>
    <x v="0"/>
  </r>
  <r>
    <n v="2"/>
    <n v="137"/>
    <n v="2"/>
    <x v="0"/>
    <x v="2"/>
    <s v="switch"/>
    <s v="Stim1_Set2"/>
    <m/>
    <s v="no"/>
    <x v="0"/>
    <n v="0"/>
    <x v="0"/>
    <x v="0"/>
  </r>
  <r>
    <n v="2"/>
    <n v="138"/>
    <n v="2"/>
    <x v="0"/>
    <x v="0"/>
    <s v="filler"/>
    <s v="Stim3_Set1"/>
    <m/>
    <m/>
    <x v="1"/>
    <n v="0"/>
    <x v="1"/>
    <x v="0"/>
  </r>
  <r>
    <n v="2"/>
    <m/>
    <n v="2"/>
    <x v="0"/>
    <x v="0"/>
    <s v="filler"/>
    <s v="Stim8_Set1"/>
    <m/>
    <s v="yes"/>
    <x v="1"/>
    <n v="0"/>
    <x v="0"/>
    <x v="1"/>
  </r>
  <r>
    <n v="2"/>
    <n v="139"/>
    <n v="2"/>
    <x v="0"/>
    <x v="1"/>
    <s v="nontarget"/>
    <s v="Stim7_Set2"/>
    <m/>
    <s v="yes"/>
    <x v="1"/>
    <n v="1"/>
    <x v="0"/>
    <x v="1"/>
  </r>
  <r>
    <n v="2"/>
    <n v="140"/>
    <n v="1"/>
    <x v="1"/>
    <x v="2"/>
    <s v="switch"/>
    <s v="Stim7_Set2"/>
    <m/>
    <s v="no"/>
    <x v="0"/>
    <n v="0"/>
    <x v="0"/>
    <x v="0"/>
  </r>
  <r>
    <n v="2"/>
    <n v="141"/>
    <n v="2"/>
    <x v="1"/>
    <x v="0"/>
    <s v="filler"/>
    <m/>
    <s v="here"/>
    <m/>
    <x v="1"/>
    <n v="0"/>
    <x v="1"/>
    <x v="0"/>
  </r>
  <r>
    <n v="2"/>
    <n v="142"/>
    <n v="1"/>
    <x v="1"/>
    <x v="1"/>
    <s v="nontarget"/>
    <s v="Stim2_Set2"/>
    <m/>
    <s v="yes"/>
    <x v="1"/>
    <n v="1"/>
    <x v="1"/>
    <x v="0"/>
  </r>
  <r>
    <n v="2"/>
    <n v="143"/>
    <n v="2"/>
    <x v="0"/>
    <x v="2"/>
    <s v="switch"/>
    <s v="Stim2_Set2"/>
    <m/>
    <s v="no"/>
    <x v="0"/>
    <n v="0"/>
    <x v="0"/>
    <x v="0"/>
  </r>
  <r>
    <n v="2"/>
    <n v="144"/>
    <n v="1"/>
    <x v="1"/>
    <x v="0"/>
    <s v="filler"/>
    <s v="Stim6_Set1"/>
    <m/>
    <m/>
    <x v="0"/>
    <n v="0"/>
    <x v="1"/>
    <x v="0"/>
  </r>
  <r>
    <n v="2"/>
    <n v="145"/>
    <n v="2"/>
    <x v="0"/>
    <x v="0"/>
    <s v="filler"/>
    <s v="Stim2_Set1"/>
    <m/>
    <s v="yes"/>
    <x v="0"/>
    <n v="0"/>
    <x v="0"/>
    <x v="1"/>
  </r>
  <r>
    <n v="2"/>
    <n v="146"/>
    <n v="1"/>
    <x v="1"/>
    <x v="0"/>
    <s v="filler"/>
    <s v="Stim5_Set1"/>
    <m/>
    <s v="yes"/>
    <x v="0"/>
    <n v="0"/>
    <x v="0"/>
    <x v="1"/>
  </r>
  <r>
    <n v="2"/>
    <n v="147"/>
    <n v="2"/>
    <x v="0"/>
    <x v="1"/>
    <s v="nontarget"/>
    <s v="Stim4_Set2"/>
    <m/>
    <s v="yes"/>
    <x v="0"/>
    <n v="1"/>
    <x v="0"/>
    <x v="1"/>
  </r>
  <r>
    <n v="2"/>
    <n v="148"/>
    <n v="2"/>
    <x v="0"/>
    <x v="2"/>
    <s v="repeat"/>
    <s v="Stim4_Set2"/>
    <m/>
    <s v="no"/>
    <x v="1"/>
    <n v="0"/>
    <x v="0"/>
    <x v="0"/>
  </r>
  <r>
    <n v="2"/>
    <n v="149"/>
    <n v="1"/>
    <x v="1"/>
    <x v="0"/>
    <s v="filler"/>
    <s v="Stim1_Set1"/>
    <m/>
    <m/>
    <x v="0"/>
    <n v="0"/>
    <x v="1"/>
    <x v="0"/>
  </r>
  <r>
    <n v="2"/>
    <n v="150"/>
    <n v="2"/>
    <x v="0"/>
    <x v="1"/>
    <s v="nontarget"/>
    <s v="Stim8_Set2"/>
    <m/>
    <s v="yes"/>
    <x v="0"/>
    <n v="1"/>
    <x v="0"/>
    <x v="1"/>
  </r>
  <r>
    <n v="2"/>
    <n v="151"/>
    <n v="2"/>
    <x v="0"/>
    <x v="2"/>
    <s v="repeat"/>
    <s v="Stim8_Set2"/>
    <m/>
    <s v="no"/>
    <x v="1"/>
    <n v="0"/>
    <x v="0"/>
    <x v="0"/>
  </r>
  <r>
    <n v="2"/>
    <n v="152"/>
    <n v="1"/>
    <x v="1"/>
    <x v="0"/>
    <s v="filler"/>
    <s v="Stim8_Set1"/>
    <m/>
    <m/>
    <x v="0"/>
    <n v="0"/>
    <x v="1"/>
    <x v="0"/>
  </r>
  <r>
    <n v="2"/>
    <n v="153"/>
    <n v="1"/>
    <x v="1"/>
    <x v="0"/>
    <s v="filler"/>
    <s v="Stim4_Set1"/>
    <m/>
    <s v="yes"/>
    <x v="1"/>
    <n v="0"/>
    <x v="0"/>
    <x v="1"/>
  </r>
  <r>
    <n v="2"/>
    <n v="154"/>
    <n v="2"/>
    <x v="0"/>
    <x v="0"/>
    <s v="filler"/>
    <s v="Stim7_Set1"/>
    <m/>
    <m/>
    <x v="0"/>
    <n v="0"/>
    <x v="0"/>
    <x v="1"/>
  </r>
  <r>
    <n v="2"/>
    <n v="155"/>
    <n v="2"/>
    <x v="0"/>
    <x v="1"/>
    <s v="nontarget"/>
    <s v="Stim6_Set2"/>
    <m/>
    <s v="yes"/>
    <x v="1"/>
    <n v="1"/>
    <x v="0"/>
    <x v="1"/>
  </r>
  <r>
    <n v="2"/>
    <n v="156"/>
    <n v="1"/>
    <x v="1"/>
    <x v="2"/>
    <s v="switch"/>
    <s v="Stim6_Set2"/>
    <m/>
    <s v="no"/>
    <x v="0"/>
    <n v="0"/>
    <x v="0"/>
    <x v="0"/>
  </r>
  <r>
    <n v="3"/>
    <n v="157"/>
    <n v="1"/>
    <x v="1"/>
    <x v="0"/>
    <s v="filler"/>
    <s v="Stim5_Set2"/>
    <m/>
    <m/>
    <x v="1"/>
    <n v="0"/>
    <x v="1"/>
    <x v="0"/>
  </r>
  <r>
    <n v="3"/>
    <n v="158"/>
    <n v="1"/>
    <x v="1"/>
    <x v="1"/>
    <s v="nontarget"/>
    <s v="Stim6_Set3"/>
    <m/>
    <s v="yes"/>
    <x v="1"/>
    <n v="1"/>
    <x v="0"/>
    <x v="1"/>
  </r>
  <r>
    <n v="3"/>
    <n v="159"/>
    <n v="2"/>
    <x v="0"/>
    <x v="2"/>
    <s v="switch"/>
    <s v="Stim6_Set3"/>
    <m/>
    <s v="no"/>
    <x v="0"/>
    <n v="0"/>
    <x v="0"/>
    <x v="0"/>
  </r>
  <r>
    <n v="3"/>
    <n v="160"/>
    <n v="2"/>
    <x v="0"/>
    <x v="0"/>
    <s v="filler"/>
    <s v="Stim3_Set2"/>
    <m/>
    <m/>
    <x v="1"/>
    <n v="0"/>
    <x v="1"/>
    <x v="0"/>
  </r>
  <r>
    <n v="3"/>
    <n v="161"/>
    <n v="2"/>
    <x v="0"/>
    <x v="1"/>
    <s v="nontarget"/>
    <s v="Stim4_Set3"/>
    <m/>
    <s v="yes"/>
    <x v="1"/>
    <n v="1"/>
    <x v="0"/>
    <x v="1"/>
  </r>
  <r>
    <n v="3"/>
    <n v="162"/>
    <n v="1"/>
    <x v="1"/>
    <x v="2"/>
    <s v="switch"/>
    <s v="Stim4_Set3"/>
    <m/>
    <s v="no"/>
    <x v="0"/>
    <n v="0"/>
    <x v="0"/>
    <x v="0"/>
  </r>
  <r>
    <n v="3"/>
    <n v="163"/>
    <n v="1"/>
    <x v="1"/>
    <x v="0"/>
    <s v="filler"/>
    <m/>
    <s v="here"/>
    <m/>
    <x v="1"/>
    <n v="0"/>
    <x v="1"/>
    <x v="0"/>
  </r>
  <r>
    <n v="3"/>
    <n v="164"/>
    <n v="1"/>
    <x v="1"/>
    <x v="1"/>
    <s v="nontarget"/>
    <s v="Stim8_Set3"/>
    <m/>
    <s v="yes"/>
    <x v="1"/>
    <n v="1"/>
    <x v="0"/>
    <x v="1"/>
  </r>
  <r>
    <n v="3"/>
    <n v="165"/>
    <n v="2"/>
    <x v="0"/>
    <x v="2"/>
    <s v="switch"/>
    <s v="Stim8_Set3"/>
    <m/>
    <s v="no"/>
    <x v="0"/>
    <n v="0"/>
    <x v="0"/>
    <x v="0"/>
  </r>
  <r>
    <n v="3"/>
    <n v="166"/>
    <n v="1"/>
    <x v="1"/>
    <x v="0"/>
    <s v="filler"/>
    <s v="Stim1_Set2"/>
    <m/>
    <m/>
    <x v="0"/>
    <n v="0"/>
    <x v="1"/>
    <x v="0"/>
  </r>
  <r>
    <n v="3"/>
    <m/>
    <n v="1"/>
    <x v="1"/>
    <x v="0"/>
    <s v="filler"/>
    <s v="Stim4_Set2"/>
    <m/>
    <s v="yes"/>
    <x v="1"/>
    <n v="0"/>
    <x v="0"/>
    <x v="1"/>
  </r>
  <r>
    <n v="3"/>
    <n v="167"/>
    <n v="2"/>
    <x v="0"/>
    <x v="1"/>
    <s v="nontarget"/>
    <s v="Stim7_Set3"/>
    <m/>
    <s v="yes"/>
    <x v="0"/>
    <n v="1"/>
    <x v="0"/>
    <x v="1"/>
  </r>
  <r>
    <n v="3"/>
    <n v="168"/>
    <n v="2"/>
    <x v="0"/>
    <x v="2"/>
    <s v="repeat"/>
    <s v="Stim7_Set3"/>
    <m/>
    <s v="no"/>
    <x v="1"/>
    <n v="0"/>
    <x v="0"/>
    <x v="0"/>
  </r>
  <r>
    <n v="3"/>
    <n v="169"/>
    <n v="2"/>
    <x v="0"/>
    <x v="0"/>
    <s v="filler"/>
    <s v="Stim7_Set2"/>
    <m/>
    <m/>
    <x v="1"/>
    <n v="0"/>
    <x v="1"/>
    <x v="0"/>
  </r>
  <r>
    <n v="3"/>
    <n v="170"/>
    <n v="1"/>
    <x v="1"/>
    <x v="0"/>
    <s v="filler"/>
    <s v="Stim2_Set2"/>
    <m/>
    <s v="yes"/>
    <x v="0"/>
    <n v="0"/>
    <x v="0"/>
    <x v="1"/>
  </r>
  <r>
    <n v="3"/>
    <n v="171"/>
    <n v="2"/>
    <x v="0"/>
    <x v="1"/>
    <s v="nontarget"/>
    <s v="Stim1_Set3"/>
    <m/>
    <s v="yes"/>
    <x v="0"/>
    <n v="1"/>
    <x v="0"/>
    <x v="1"/>
  </r>
  <r>
    <n v="3"/>
    <n v="172"/>
    <n v="2"/>
    <x v="0"/>
    <x v="2"/>
    <s v="repeat"/>
    <s v="Stim1_Set3"/>
    <m/>
    <s v="no"/>
    <x v="1"/>
    <n v="0"/>
    <x v="0"/>
    <x v="0"/>
  </r>
  <r>
    <n v="3"/>
    <n v="173"/>
    <n v="2"/>
    <x v="0"/>
    <x v="1"/>
    <s v="nontarget"/>
    <s v="Stim3_Set3"/>
    <m/>
    <s v="yes"/>
    <x v="1"/>
    <n v="1"/>
    <x v="1"/>
    <x v="0"/>
  </r>
  <r>
    <n v="3"/>
    <n v="174"/>
    <n v="1"/>
    <x v="1"/>
    <x v="2"/>
    <s v="switch"/>
    <s v="Stim3_Set3"/>
    <m/>
    <s v="no"/>
    <x v="0"/>
    <n v="0"/>
    <x v="0"/>
    <x v="0"/>
  </r>
  <r>
    <n v="3"/>
    <n v="175"/>
    <n v="2"/>
    <x v="0"/>
    <x v="0"/>
    <s v="filler"/>
    <s v="Stim4_Set2"/>
    <m/>
    <m/>
    <x v="0"/>
    <n v="0"/>
    <x v="1"/>
    <x v="0"/>
  </r>
  <r>
    <n v="3"/>
    <n v="176"/>
    <n v="1"/>
    <x v="1"/>
    <x v="0"/>
    <s v="filler"/>
    <m/>
    <s v="here"/>
    <s v="yes"/>
    <x v="0"/>
    <n v="0"/>
    <x v="0"/>
    <x v="1"/>
  </r>
  <r>
    <n v="3"/>
    <n v="177"/>
    <n v="1"/>
    <x v="1"/>
    <x v="1"/>
    <s v="nontarget"/>
    <s v="Stim5_Set3"/>
    <m/>
    <s v="yes"/>
    <x v="1"/>
    <n v="1"/>
    <x v="0"/>
    <x v="1"/>
  </r>
  <r>
    <n v="3"/>
    <n v="178"/>
    <n v="1"/>
    <x v="1"/>
    <x v="2"/>
    <s v="repeat"/>
    <s v="Stim5_Set3"/>
    <m/>
    <s v="no"/>
    <x v="1"/>
    <n v="0"/>
    <x v="0"/>
    <x v="0"/>
  </r>
  <r>
    <n v="3"/>
    <n v="179"/>
    <n v="2"/>
    <x v="0"/>
    <x v="0"/>
    <s v="filler"/>
    <s v="Stim8_Set2"/>
    <m/>
    <m/>
    <x v="0"/>
    <n v="0"/>
    <x v="1"/>
    <x v="0"/>
  </r>
  <r>
    <n v="3"/>
    <n v="180"/>
    <n v="1"/>
    <x v="1"/>
    <x v="1"/>
    <s v="nontarget"/>
    <s v="Stim2_Set3"/>
    <m/>
    <s v="yes"/>
    <x v="0"/>
    <n v="1"/>
    <x v="0"/>
    <x v="1"/>
  </r>
  <r>
    <n v="3"/>
    <n v="181"/>
    <n v="1"/>
    <x v="1"/>
    <x v="2"/>
    <s v="repeat"/>
    <s v="Stim2_Set3"/>
    <m/>
    <s v="no"/>
    <x v="1"/>
    <n v="0"/>
    <x v="0"/>
    <x v="0"/>
  </r>
  <r>
    <n v="3"/>
    <n v="182"/>
    <n v="1"/>
    <x v="1"/>
    <x v="0"/>
    <s v="filler"/>
    <s v="Stim6_Set2"/>
    <m/>
    <m/>
    <x v="1"/>
    <n v="0"/>
    <x v="1"/>
    <x v="0"/>
  </r>
  <r>
    <n v="4"/>
    <n v="183"/>
    <n v="2"/>
    <x v="0"/>
    <x v="0"/>
    <s v="filler"/>
    <s v="Stim6_Set3"/>
    <m/>
    <m/>
    <x v="0"/>
    <n v="0"/>
    <x v="0"/>
    <x v="1"/>
  </r>
  <r>
    <n v="4"/>
    <n v="184"/>
    <n v="1"/>
    <x v="1"/>
    <x v="1"/>
    <s v="nontarget"/>
    <s v="Stim3_Set4"/>
    <m/>
    <s v="yes"/>
    <x v="0"/>
    <n v="1"/>
    <x v="0"/>
    <x v="1"/>
  </r>
  <r>
    <n v="4"/>
    <n v="185"/>
    <n v="1"/>
    <x v="1"/>
    <x v="2"/>
    <s v="repeat"/>
    <s v="Stim3_Set4"/>
    <m/>
    <s v="no"/>
    <x v="1"/>
    <n v="0"/>
    <x v="0"/>
    <x v="0"/>
  </r>
  <r>
    <n v="4"/>
    <n v="186"/>
    <n v="1"/>
    <x v="1"/>
    <x v="1"/>
    <s v="nontarget"/>
    <s v="Stim8_Set4"/>
    <m/>
    <s v="yes"/>
    <x v="1"/>
    <n v="1"/>
    <x v="1"/>
    <x v="0"/>
  </r>
  <r>
    <n v="4"/>
    <n v="187"/>
    <n v="2"/>
    <x v="0"/>
    <x v="2"/>
    <s v="switch"/>
    <s v="Stim8_Set4"/>
    <m/>
    <s v="no"/>
    <x v="0"/>
    <n v="0"/>
    <x v="0"/>
    <x v="0"/>
  </r>
  <r>
    <n v="4"/>
    <n v="188"/>
    <n v="1"/>
    <x v="1"/>
    <x v="0"/>
    <s v="filler"/>
    <s v="Stim4_Set3"/>
    <m/>
    <m/>
    <x v="0"/>
    <n v="0"/>
    <x v="1"/>
    <x v="0"/>
  </r>
  <r>
    <n v="4"/>
    <n v="189"/>
    <n v="2"/>
    <x v="0"/>
    <x v="1"/>
    <s v="nontarget"/>
    <s v="Stim4_Set4"/>
    <m/>
    <s v="yes"/>
    <x v="0"/>
    <n v="1"/>
    <x v="0"/>
    <x v="1"/>
  </r>
  <r>
    <n v="4"/>
    <n v="190"/>
    <n v="2"/>
    <x v="0"/>
    <x v="2"/>
    <s v="repeat"/>
    <s v="Stim4_Set4"/>
    <m/>
    <s v="no"/>
    <x v="1"/>
    <n v="0"/>
    <x v="0"/>
    <x v="0"/>
  </r>
  <r>
    <n v="4"/>
    <n v="191"/>
    <n v="2"/>
    <x v="0"/>
    <x v="1"/>
    <s v="nontarget"/>
    <s v="Stim2_Set4"/>
    <m/>
    <s v="yes"/>
    <x v="1"/>
    <n v="1"/>
    <x v="1"/>
    <x v="0"/>
  </r>
  <r>
    <n v="4"/>
    <n v="192"/>
    <n v="1"/>
    <x v="1"/>
    <x v="2"/>
    <s v="switch"/>
    <s v="Stim2_Set4"/>
    <m/>
    <s v="no"/>
    <x v="0"/>
    <n v="0"/>
    <x v="0"/>
    <x v="0"/>
  </r>
  <r>
    <n v="4"/>
    <n v="193"/>
    <n v="2"/>
    <x v="0"/>
    <x v="0"/>
    <s v="filler"/>
    <s v="Stim8_Set3"/>
    <m/>
    <m/>
    <x v="0"/>
    <n v="0"/>
    <x v="1"/>
    <x v="0"/>
  </r>
  <r>
    <n v="4"/>
    <n v="194"/>
    <n v="1"/>
    <x v="1"/>
    <x v="1"/>
    <s v="nontarget"/>
    <s v="Stim7_Set4"/>
    <m/>
    <s v="yes"/>
    <x v="0"/>
    <n v="1"/>
    <x v="0"/>
    <x v="1"/>
  </r>
  <r>
    <n v="4"/>
    <n v="195"/>
    <n v="2"/>
    <x v="0"/>
    <x v="2"/>
    <s v="switch"/>
    <s v="Stim7_Set4"/>
    <m/>
    <s v="no"/>
    <x v="0"/>
    <n v="0"/>
    <x v="0"/>
    <x v="0"/>
  </r>
  <r>
    <n v="4"/>
    <n v="196"/>
    <n v="1"/>
    <x v="1"/>
    <x v="0"/>
    <s v="filler"/>
    <s v="Stim1_Set3"/>
    <m/>
    <m/>
    <x v="0"/>
    <n v="0"/>
    <x v="1"/>
    <x v="0"/>
  </r>
  <r>
    <n v="4"/>
    <m/>
    <n v="1"/>
    <x v="1"/>
    <x v="0"/>
    <s v="filler"/>
    <s v="Stim2_Set3"/>
    <m/>
    <s v="yes"/>
    <x v="1"/>
    <n v="0"/>
    <x v="0"/>
    <x v="1"/>
  </r>
  <r>
    <n v="4"/>
    <n v="197"/>
    <n v="2"/>
    <x v="0"/>
    <x v="0"/>
    <s v="filler"/>
    <s v="Stim7_Set3"/>
    <m/>
    <m/>
    <x v="0"/>
    <n v="0"/>
    <x v="0"/>
    <x v="1"/>
  </r>
  <r>
    <n v="4"/>
    <n v="198"/>
    <n v="2"/>
    <x v="0"/>
    <x v="1"/>
    <s v="nontarget"/>
    <s v="Stim1_Set4"/>
    <m/>
    <s v="yes"/>
    <x v="1"/>
    <n v="1"/>
    <x v="0"/>
    <x v="1"/>
  </r>
  <r>
    <n v="4"/>
    <n v="199"/>
    <n v="2"/>
    <x v="0"/>
    <x v="2"/>
    <s v="repeat"/>
    <s v="Stim1_Set4"/>
    <m/>
    <s v="no"/>
    <x v="1"/>
    <n v="0"/>
    <x v="0"/>
    <x v="0"/>
  </r>
  <r>
    <n v="4"/>
    <n v="200"/>
    <n v="1"/>
    <x v="1"/>
    <x v="0"/>
    <s v="filler"/>
    <s v="Stim3_Set3"/>
    <m/>
    <m/>
    <x v="0"/>
    <n v="0"/>
    <x v="1"/>
    <x v="0"/>
  </r>
  <r>
    <n v="4"/>
    <n v="201"/>
    <n v="2"/>
    <x v="0"/>
    <x v="0"/>
    <s v="filler"/>
    <s v="Stim5_Set3"/>
    <m/>
    <m/>
    <x v="0"/>
    <n v="0"/>
    <x v="0"/>
    <x v="1"/>
  </r>
  <r>
    <n v="4"/>
    <n v="202"/>
    <n v="2"/>
    <x v="0"/>
    <x v="1"/>
    <s v="nontarget"/>
    <s v="Stim6_Set4"/>
    <m/>
    <s v="yes"/>
    <x v="1"/>
    <n v="1"/>
    <x v="0"/>
    <x v="1"/>
  </r>
  <r>
    <n v="4"/>
    <n v="203"/>
    <n v="1"/>
    <x v="1"/>
    <x v="2"/>
    <s v="switch"/>
    <s v="Stim6_Set4"/>
    <m/>
    <s v="no"/>
    <x v="0"/>
    <n v="0"/>
    <x v="0"/>
    <x v="0"/>
  </r>
  <r>
    <n v="4"/>
    <n v="204"/>
    <n v="1"/>
    <x v="1"/>
    <x v="1"/>
    <s v="nontarget"/>
    <s v="Stim5_Set4"/>
    <m/>
    <s v="yes"/>
    <x v="1"/>
    <n v="1"/>
    <x v="1"/>
    <x v="0"/>
  </r>
  <r>
    <n v="4"/>
    <n v="205"/>
    <n v="1"/>
    <x v="1"/>
    <x v="2"/>
    <s v="repeat"/>
    <s v="Stim5_Set4"/>
    <m/>
    <s v="no"/>
    <x v="1"/>
    <n v="0"/>
    <x v="0"/>
    <x v="0"/>
  </r>
  <r>
    <n v="4"/>
    <n v="206"/>
    <n v="2"/>
    <x v="0"/>
    <x v="0"/>
    <s v="filler"/>
    <m/>
    <s v="here"/>
    <m/>
    <x v="0"/>
    <n v="0"/>
    <x v="1"/>
    <x v="0"/>
  </r>
  <r>
    <n v="4"/>
    <n v="207"/>
    <n v="2"/>
    <x v="0"/>
    <x v="0"/>
    <s v="filler"/>
    <s v="Stim3_Set3"/>
    <m/>
    <s v="yes"/>
    <x v="1"/>
    <n v="0"/>
    <x v="0"/>
    <x v="1"/>
  </r>
  <r>
    <n v="4"/>
    <n v="208"/>
    <n v="1"/>
    <x v="1"/>
    <x v="0"/>
    <s v="filler"/>
    <s v="Stim2_Set3"/>
    <m/>
    <m/>
    <x v="0"/>
    <n v="0"/>
    <x v="0"/>
    <x v="1"/>
  </r>
  <r>
    <s v="BREAK"/>
    <n v="209"/>
    <m/>
    <x v="2"/>
    <x v="3"/>
    <m/>
    <m/>
    <m/>
    <s v="no"/>
    <x v="0"/>
    <n v="0"/>
    <x v="0"/>
    <x v="1"/>
  </r>
  <r>
    <n v="1"/>
    <n v="210"/>
    <n v="2"/>
    <x v="0"/>
    <x v="0"/>
    <s v="filler"/>
    <s v="Stim4_Set4"/>
    <m/>
    <m/>
    <x v="0"/>
    <n v="0"/>
    <x v="0"/>
    <x v="0"/>
  </r>
  <r>
    <n v="1"/>
    <n v="211"/>
    <n v="2"/>
    <x v="0"/>
    <x v="1"/>
    <s v="nontarget"/>
    <s v="Stim7_Set1"/>
    <m/>
    <s v="yes"/>
    <x v="1"/>
    <n v="1"/>
    <x v="0"/>
    <x v="1"/>
  </r>
  <r>
    <n v="1"/>
    <n v="212"/>
    <n v="2"/>
    <x v="0"/>
    <x v="2"/>
    <s v="repeat"/>
    <s v="Stim7_Set1"/>
    <m/>
    <s v="no"/>
    <x v="1"/>
    <n v="0"/>
    <x v="0"/>
    <x v="0"/>
  </r>
  <r>
    <n v="1"/>
    <n v="213"/>
    <n v="1"/>
    <x v="1"/>
    <x v="0"/>
    <s v="filler"/>
    <s v="Stim6_Set4"/>
    <m/>
    <m/>
    <x v="0"/>
    <n v="0"/>
    <x v="1"/>
    <x v="0"/>
  </r>
  <r>
    <n v="1"/>
    <m/>
    <n v="1"/>
    <x v="1"/>
    <x v="0"/>
    <s v="filler"/>
    <s v="Stim8_Set4"/>
    <m/>
    <s v="yes"/>
    <x v="1"/>
    <n v="0"/>
    <x v="0"/>
    <x v="1"/>
  </r>
  <r>
    <n v="1"/>
    <n v="214"/>
    <n v="1"/>
    <x v="1"/>
    <x v="0"/>
    <s v="filler"/>
    <s v="Stim2_Set4"/>
    <m/>
    <m/>
    <x v="1"/>
    <n v="0"/>
    <x v="0"/>
    <x v="1"/>
  </r>
  <r>
    <n v="1"/>
    <n v="215"/>
    <n v="2"/>
    <x v="0"/>
    <x v="1"/>
    <s v="nontarget"/>
    <s v="Stim6_Set1"/>
    <m/>
    <s v="yes"/>
    <x v="0"/>
    <n v="1"/>
    <x v="0"/>
    <x v="1"/>
  </r>
  <r>
    <n v="1"/>
    <n v="216"/>
    <n v="2"/>
    <x v="0"/>
    <x v="2"/>
    <s v="repeat"/>
    <s v="Stim6_Set1"/>
    <m/>
    <s v="no"/>
    <x v="1"/>
    <n v="0"/>
    <x v="0"/>
    <x v="0"/>
  </r>
  <r>
    <n v="1"/>
    <n v="217"/>
    <n v="2"/>
    <x v="0"/>
    <x v="1"/>
    <s v="nontarget"/>
    <s v="Stim8_Set1"/>
    <m/>
    <s v="yes"/>
    <x v="1"/>
    <n v="1"/>
    <x v="1"/>
    <x v="0"/>
  </r>
  <r>
    <n v="1"/>
    <n v="218"/>
    <n v="1"/>
    <x v="1"/>
    <x v="2"/>
    <s v="switch"/>
    <s v="Stim8_Set1"/>
    <m/>
    <s v="no"/>
    <x v="0"/>
    <n v="0"/>
    <x v="0"/>
    <x v="0"/>
  </r>
  <r>
    <n v="1"/>
    <n v="219"/>
    <n v="1"/>
    <x v="1"/>
    <x v="0"/>
    <s v="filler"/>
    <s v="Stim5_Set4"/>
    <m/>
    <m/>
    <x v="1"/>
    <n v="0"/>
    <x v="1"/>
    <x v="0"/>
  </r>
  <r>
    <n v="1"/>
    <n v="220"/>
    <n v="1"/>
    <x v="1"/>
    <x v="1"/>
    <s v="nontarget"/>
    <s v="Stim1_Set1"/>
    <m/>
    <s v="yes"/>
    <x v="1"/>
    <n v="1"/>
    <x v="0"/>
    <x v="1"/>
  </r>
  <r>
    <n v="1"/>
    <n v="221"/>
    <n v="2"/>
    <x v="0"/>
    <x v="2"/>
    <s v="switch"/>
    <s v="Stim1_Set1"/>
    <m/>
    <s v="no"/>
    <x v="0"/>
    <n v="0"/>
    <x v="0"/>
    <x v="0"/>
  </r>
  <r>
    <n v="1"/>
    <n v="222"/>
    <n v="2"/>
    <x v="0"/>
    <x v="1"/>
    <s v="nontarget"/>
    <s v="Stim4_Set1"/>
    <m/>
    <s v="yes"/>
    <x v="1"/>
    <n v="1"/>
    <x v="1"/>
    <x v="0"/>
  </r>
  <r>
    <n v="1"/>
    <n v="223"/>
    <n v="1"/>
    <x v="1"/>
    <x v="2"/>
    <s v="switch"/>
    <s v="Stim4_Set1"/>
    <m/>
    <s v="no"/>
    <x v="0"/>
    <n v="0"/>
    <x v="0"/>
    <x v="0"/>
  </r>
  <r>
    <n v="1"/>
    <n v="224"/>
    <n v="2"/>
    <x v="0"/>
    <x v="0"/>
    <s v="filler"/>
    <s v="Stim1_Set4"/>
    <m/>
    <m/>
    <x v="0"/>
    <n v="0"/>
    <x v="1"/>
    <x v="0"/>
  </r>
  <r>
    <n v="1"/>
    <n v="225"/>
    <n v="2"/>
    <x v="0"/>
    <x v="0"/>
    <s v="filler"/>
    <s v="Stim8_Set4"/>
    <m/>
    <m/>
    <x v="1"/>
    <n v="0"/>
    <x v="0"/>
    <x v="1"/>
  </r>
  <r>
    <n v="1"/>
    <n v="226"/>
    <n v="1"/>
    <x v="1"/>
    <x v="1"/>
    <s v="nontarget"/>
    <s v="Stim2_Set1"/>
    <m/>
    <s v="yes"/>
    <x v="0"/>
    <n v="1"/>
    <x v="0"/>
    <x v="1"/>
  </r>
  <r>
    <n v="1"/>
    <n v="227"/>
    <n v="1"/>
    <x v="1"/>
    <x v="2"/>
    <s v="repeat"/>
    <s v="Stim2_Set1"/>
    <m/>
    <s v="no"/>
    <x v="1"/>
    <n v="0"/>
    <x v="0"/>
    <x v="0"/>
  </r>
  <r>
    <n v="1"/>
    <n v="228"/>
    <n v="2"/>
    <x v="0"/>
    <x v="0"/>
    <s v="filler"/>
    <s v="Stim3_Set4"/>
    <m/>
    <m/>
    <x v="0"/>
    <n v="0"/>
    <x v="1"/>
    <x v="0"/>
  </r>
  <r>
    <n v="1"/>
    <n v="229"/>
    <n v="2"/>
    <x v="0"/>
    <x v="0"/>
    <s v="filler"/>
    <s v="Stim7_Set4"/>
    <m/>
    <m/>
    <x v="1"/>
    <n v="0"/>
    <x v="0"/>
    <x v="1"/>
  </r>
  <r>
    <n v="1"/>
    <n v="230"/>
    <n v="1"/>
    <x v="1"/>
    <x v="1"/>
    <s v="nontarget"/>
    <s v="Stim3_Set1"/>
    <m/>
    <s v="yes"/>
    <x v="0"/>
    <n v="1"/>
    <x v="0"/>
    <x v="1"/>
  </r>
  <r>
    <n v="1"/>
    <n v="231"/>
    <n v="1"/>
    <x v="1"/>
    <x v="2"/>
    <s v="repeat"/>
    <s v="Stim3_Set1"/>
    <m/>
    <s v="no"/>
    <x v="1"/>
    <n v="0"/>
    <x v="0"/>
    <x v="0"/>
  </r>
  <r>
    <n v="1"/>
    <n v="232"/>
    <n v="1"/>
    <x v="1"/>
    <x v="1"/>
    <s v="nontarget"/>
    <s v="Stim5_Set1"/>
    <m/>
    <s v="yes"/>
    <x v="1"/>
    <n v="1"/>
    <x v="1"/>
    <x v="0"/>
  </r>
  <r>
    <n v="1"/>
    <n v="233"/>
    <n v="2"/>
    <x v="0"/>
    <x v="2"/>
    <s v="switch"/>
    <s v="Stim5_Set1"/>
    <m/>
    <s v="no"/>
    <x v="0"/>
    <n v="0"/>
    <x v="0"/>
    <x v="0"/>
  </r>
  <r>
    <n v="2"/>
    <n v="234"/>
    <n v="2"/>
    <x v="0"/>
    <x v="0"/>
    <s v="filler"/>
    <s v="Stim7_Set1"/>
    <m/>
    <m/>
    <x v="1"/>
    <n v="0"/>
    <x v="1"/>
    <x v="0"/>
  </r>
  <r>
    <n v="2"/>
    <n v="235"/>
    <n v="2"/>
    <x v="0"/>
    <x v="0"/>
    <s v="filler"/>
    <s v="Stim4_Set1"/>
    <m/>
    <s v="yes"/>
    <x v="1"/>
    <n v="0"/>
    <x v="0"/>
    <x v="1"/>
  </r>
  <r>
    <n v="2"/>
    <n v="236"/>
    <n v="1"/>
    <x v="1"/>
    <x v="0"/>
    <s v="filler"/>
    <s v="Stim3_Set1"/>
    <m/>
    <m/>
    <x v="0"/>
    <n v="0"/>
    <x v="0"/>
    <x v="1"/>
  </r>
  <r>
    <n v="2"/>
    <n v="237"/>
    <n v="1"/>
    <x v="1"/>
    <x v="1"/>
    <s v="nontarget"/>
    <s v="Stim7_Set2"/>
    <m/>
    <s v="yes"/>
    <x v="1"/>
    <n v="1"/>
    <x v="0"/>
    <x v="1"/>
  </r>
  <r>
    <n v="2"/>
    <n v="238"/>
    <n v="1"/>
    <x v="1"/>
    <x v="2"/>
    <s v="repeat"/>
    <s v="Stim7_Set2"/>
    <m/>
    <s v="no"/>
    <x v="1"/>
    <n v="0"/>
    <x v="0"/>
    <x v="0"/>
  </r>
  <r>
    <n v="2"/>
    <n v="239"/>
    <n v="2"/>
    <x v="0"/>
    <x v="0"/>
    <s v="filler"/>
    <s v="Stim6_Set1"/>
    <m/>
    <m/>
    <x v="0"/>
    <n v="0"/>
    <x v="1"/>
    <x v="0"/>
  </r>
  <r>
    <n v="2"/>
    <n v="240"/>
    <n v="1"/>
    <x v="1"/>
    <x v="1"/>
    <s v="nontarget"/>
    <s v="Stim6_Set2"/>
    <m/>
    <s v="yes"/>
    <x v="0"/>
    <n v="1"/>
    <x v="0"/>
    <x v="1"/>
  </r>
  <r>
    <n v="2"/>
    <n v="241"/>
    <n v="1"/>
    <x v="1"/>
    <x v="2"/>
    <s v="repeat"/>
    <s v="Stim6_Set2"/>
    <m/>
    <s v="no"/>
    <x v="1"/>
    <n v="0"/>
    <x v="0"/>
    <x v="0"/>
  </r>
  <r>
    <n v="2"/>
    <n v="242"/>
    <n v="1"/>
    <x v="1"/>
    <x v="1"/>
    <s v="nontarget"/>
    <s v="Stim4_Set2"/>
    <m/>
    <s v="yes"/>
    <x v="1"/>
    <n v="1"/>
    <x v="1"/>
    <x v="0"/>
  </r>
  <r>
    <n v="2"/>
    <n v="243"/>
    <n v="2"/>
    <x v="0"/>
    <x v="2"/>
    <s v="switch"/>
    <s v="Stim4_Set2"/>
    <m/>
    <s v="no"/>
    <x v="0"/>
    <n v="0"/>
    <x v="0"/>
    <x v="0"/>
  </r>
  <r>
    <n v="2"/>
    <n v="244"/>
    <n v="2"/>
    <x v="0"/>
    <x v="0"/>
    <s v="filler"/>
    <s v="Stim8_Set1"/>
    <m/>
    <m/>
    <x v="1"/>
    <n v="0"/>
    <x v="1"/>
    <x v="0"/>
  </r>
  <r>
    <n v="2"/>
    <n v="245"/>
    <n v="2"/>
    <x v="0"/>
    <x v="1"/>
    <s v="nontarget"/>
    <s v="Stim5_Set2"/>
    <m/>
    <s v="yes"/>
    <x v="1"/>
    <n v="1"/>
    <x v="0"/>
    <x v="1"/>
  </r>
  <r>
    <n v="2"/>
    <n v="246"/>
    <n v="1"/>
    <x v="1"/>
    <x v="2"/>
    <s v="switch"/>
    <s v="Stim5_Set2"/>
    <m/>
    <s v="no"/>
    <x v="0"/>
    <n v="0"/>
    <x v="0"/>
    <x v="0"/>
  </r>
  <r>
    <n v="2"/>
    <n v="247"/>
    <n v="1"/>
    <x v="1"/>
    <x v="0"/>
    <s v="filler"/>
    <s v="Stim1_Set1"/>
    <m/>
    <m/>
    <x v="1"/>
    <n v="0"/>
    <x v="1"/>
    <x v="0"/>
  </r>
  <r>
    <n v="2"/>
    <n v="248"/>
    <n v="1"/>
    <x v="1"/>
    <x v="1"/>
    <s v="nontarget"/>
    <s v="Stim8_Set2"/>
    <m/>
    <s v="yes"/>
    <x v="1"/>
    <n v="1"/>
    <x v="0"/>
    <x v="1"/>
  </r>
  <r>
    <n v="2"/>
    <n v="249"/>
    <n v="2"/>
    <x v="0"/>
    <x v="2"/>
    <s v="switch"/>
    <s v="Stim8_Set2"/>
    <m/>
    <s v="no"/>
    <x v="0"/>
    <n v="0"/>
    <x v="0"/>
    <x v="0"/>
  </r>
  <r>
    <n v="2"/>
    <n v="250"/>
    <n v="1"/>
    <x v="1"/>
    <x v="0"/>
    <s v="filler"/>
    <s v="Stim4_Set1"/>
    <m/>
    <m/>
    <x v="0"/>
    <n v="0"/>
    <x v="1"/>
    <x v="0"/>
  </r>
  <r>
    <n v="2"/>
    <n v="251"/>
    <n v="2"/>
    <x v="0"/>
    <x v="1"/>
    <s v="nontarget"/>
    <s v="Stim2_Set2"/>
    <m/>
    <s v="yes"/>
    <x v="0"/>
    <n v="1"/>
    <x v="0"/>
    <x v="1"/>
  </r>
  <r>
    <n v="2"/>
    <n v="252"/>
    <n v="2"/>
    <x v="0"/>
    <x v="2"/>
    <s v="repeat"/>
    <s v="Stim2_Set2"/>
    <m/>
    <s v="no"/>
    <x v="1"/>
    <n v="0"/>
    <x v="0"/>
    <x v="0"/>
  </r>
  <r>
    <n v="2"/>
    <n v="253"/>
    <n v="1"/>
    <x v="1"/>
    <x v="0"/>
    <s v="filler"/>
    <s v="Stim2_Set1"/>
    <m/>
    <m/>
    <x v="0"/>
    <n v="0"/>
    <x v="1"/>
    <x v="0"/>
  </r>
  <r>
    <n v="2"/>
    <n v="254"/>
    <n v="1"/>
    <x v="1"/>
    <x v="0"/>
    <s v="filler"/>
    <s v="Stim6_Set1"/>
    <m/>
    <s v="yes"/>
    <x v="1"/>
    <n v="0"/>
    <x v="0"/>
    <x v="1"/>
  </r>
  <r>
    <n v="2"/>
    <n v="255"/>
    <n v="2"/>
    <x v="0"/>
    <x v="1"/>
    <s v="nontarget"/>
    <s v="Stim1_Set2"/>
    <m/>
    <s v="yes"/>
    <x v="0"/>
    <n v="1"/>
    <x v="0"/>
    <x v="1"/>
  </r>
  <r>
    <n v="2"/>
    <n v="256"/>
    <n v="2"/>
    <x v="0"/>
    <x v="2"/>
    <s v="repeat"/>
    <s v="Stim1_Set2"/>
    <m/>
    <s v="no"/>
    <x v="1"/>
    <n v="0"/>
    <x v="0"/>
    <x v="0"/>
  </r>
  <r>
    <n v="2"/>
    <n v="257"/>
    <n v="2"/>
    <x v="0"/>
    <x v="0"/>
    <s v="filler"/>
    <s v="Stim5_Set1"/>
    <m/>
    <m/>
    <x v="1"/>
    <n v="0"/>
    <x v="1"/>
    <x v="0"/>
  </r>
  <r>
    <n v="2"/>
    <n v="258"/>
    <n v="2"/>
    <x v="0"/>
    <x v="1"/>
    <s v="nontarget"/>
    <s v="Stim3_Set2"/>
    <m/>
    <s v="yes"/>
    <x v="1"/>
    <n v="1"/>
    <x v="0"/>
    <x v="1"/>
  </r>
  <r>
    <n v="2"/>
    <n v="259"/>
    <n v="1"/>
    <x v="1"/>
    <x v="2"/>
    <s v="switch"/>
    <s v="Stim3_Set2"/>
    <m/>
    <s v="no"/>
    <x v="0"/>
    <n v="0"/>
    <x v="0"/>
    <x v="0"/>
  </r>
  <r>
    <n v="3"/>
    <n v="260"/>
    <n v="1"/>
    <x v="1"/>
    <x v="0"/>
    <s v="filler"/>
    <s v="Stim7_Set2"/>
    <m/>
    <m/>
    <x v="1"/>
    <n v="0"/>
    <x v="1"/>
    <x v="0"/>
  </r>
  <r>
    <n v="3"/>
    <n v="261"/>
    <n v="1"/>
    <x v="1"/>
    <x v="1"/>
    <s v="nontarget"/>
    <s v="Stim4_Set3"/>
    <m/>
    <s v="yes"/>
    <x v="1"/>
    <n v="1"/>
    <x v="0"/>
    <x v="1"/>
  </r>
  <r>
    <n v="3"/>
    <n v="262"/>
    <n v="2"/>
    <x v="0"/>
    <x v="2"/>
    <s v="switch"/>
    <s v="Stim4_Set3"/>
    <m/>
    <s v="no"/>
    <x v="0"/>
    <n v="0"/>
    <x v="0"/>
    <x v="0"/>
  </r>
  <r>
    <n v="3"/>
    <n v="263"/>
    <n v="2"/>
    <x v="0"/>
    <x v="0"/>
    <s v="filler"/>
    <s v="Stim6_Set2"/>
    <m/>
    <m/>
    <x v="1"/>
    <n v="0"/>
    <x v="1"/>
    <x v="0"/>
  </r>
  <r>
    <n v="3"/>
    <n v="264"/>
    <n v="2"/>
    <x v="0"/>
    <x v="1"/>
    <s v="nontarget"/>
    <s v="Stim7_Set3"/>
    <m/>
    <s v="yes"/>
    <x v="1"/>
    <n v="1"/>
    <x v="0"/>
    <x v="1"/>
  </r>
  <r>
    <n v="3"/>
    <n v="265"/>
    <n v="1"/>
    <x v="1"/>
    <x v="2"/>
    <s v="switch"/>
    <s v="Stim7_Set3"/>
    <m/>
    <s v="no"/>
    <x v="0"/>
    <n v="0"/>
    <x v="0"/>
    <x v="0"/>
  </r>
  <r>
    <n v="3"/>
    <n v="266"/>
    <n v="1"/>
    <x v="1"/>
    <x v="1"/>
    <s v="nontarget"/>
    <s v="Stim2_Set3"/>
    <m/>
    <s v="yes"/>
    <x v="1"/>
    <n v="1"/>
    <x v="1"/>
    <x v="0"/>
  </r>
  <r>
    <n v="3"/>
    <n v="267"/>
    <n v="2"/>
    <x v="0"/>
    <x v="2"/>
    <s v="switch"/>
    <s v="Stim2_Set3"/>
    <m/>
    <s v="no"/>
    <x v="0"/>
    <n v="0"/>
    <x v="0"/>
    <x v="0"/>
  </r>
  <r>
    <n v="3"/>
    <n v="268"/>
    <n v="1"/>
    <x v="1"/>
    <x v="0"/>
    <s v="filler"/>
    <s v="Stim8_Set2"/>
    <m/>
    <m/>
    <x v="0"/>
    <n v="0"/>
    <x v="1"/>
    <x v="0"/>
  </r>
  <r>
    <n v="3"/>
    <n v="269"/>
    <n v="2"/>
    <x v="0"/>
    <x v="1"/>
    <s v="nontarget"/>
    <s v="Stim6_Set3"/>
    <m/>
    <s v="yes"/>
    <x v="0"/>
    <n v="1"/>
    <x v="0"/>
    <x v="1"/>
  </r>
  <r>
    <n v="3"/>
    <n v="270"/>
    <n v="2"/>
    <x v="0"/>
    <x v="2"/>
    <s v="repeat"/>
    <s v="Stim6_Set3"/>
    <m/>
    <s v="no"/>
    <x v="1"/>
    <n v="0"/>
    <x v="0"/>
    <x v="0"/>
  </r>
  <r>
    <n v="3"/>
    <n v="271"/>
    <n v="1"/>
    <x v="1"/>
    <x v="0"/>
    <s v="filler"/>
    <s v="Stim2_Set2"/>
    <m/>
    <m/>
    <x v="0"/>
    <n v="0"/>
    <x v="1"/>
    <x v="0"/>
  </r>
  <r>
    <n v="3"/>
    <n v="272"/>
    <n v="1"/>
    <x v="1"/>
    <x v="0"/>
    <s v="filler"/>
    <s v="Stim1_Set2"/>
    <m/>
    <s v="yes"/>
    <x v="1"/>
    <n v="0"/>
    <x v="0"/>
    <x v="1"/>
  </r>
  <r>
    <n v="3"/>
    <n v="273"/>
    <n v="2"/>
    <x v="0"/>
    <x v="1"/>
    <s v="nontarget"/>
    <s v="Stim8_Set3"/>
    <m/>
    <s v="yes"/>
    <x v="0"/>
    <n v="1"/>
    <x v="0"/>
    <x v="1"/>
  </r>
  <r>
    <n v="3"/>
    <n v="274"/>
    <n v="2"/>
    <x v="0"/>
    <x v="2"/>
    <s v="repeat"/>
    <s v="Stim8_Set3"/>
    <m/>
    <s v="no"/>
    <x v="1"/>
    <n v="0"/>
    <x v="0"/>
    <x v="0"/>
  </r>
  <r>
    <n v="3"/>
    <n v="275"/>
    <n v="2"/>
    <x v="0"/>
    <x v="1"/>
    <s v="nontarget"/>
    <s v="Stim5_Set3"/>
    <m/>
    <s v="yes"/>
    <x v="1"/>
    <n v="1"/>
    <x v="1"/>
    <x v="0"/>
  </r>
  <r>
    <n v="3"/>
    <n v="276"/>
    <n v="1"/>
    <x v="1"/>
    <x v="2"/>
    <s v="switch"/>
    <s v="Stim5_Set3"/>
    <m/>
    <s v="no"/>
    <x v="0"/>
    <n v="0"/>
    <x v="0"/>
    <x v="0"/>
  </r>
  <r>
    <n v="3"/>
    <n v="277"/>
    <n v="2"/>
    <x v="0"/>
    <x v="0"/>
    <s v="filler"/>
    <s v="Stim4_Set2"/>
    <m/>
    <m/>
    <x v="0"/>
    <n v="0"/>
    <x v="1"/>
    <x v="0"/>
  </r>
  <r>
    <n v="3"/>
    <n v="278"/>
    <n v="1"/>
    <x v="1"/>
    <x v="0"/>
    <s v="filler"/>
    <s v="Stim5_Set2"/>
    <m/>
    <m/>
    <x v="0"/>
    <n v="0"/>
    <x v="0"/>
    <x v="1"/>
  </r>
  <r>
    <n v="3"/>
    <n v="279"/>
    <n v="1"/>
    <x v="1"/>
    <x v="1"/>
    <s v="nontarget"/>
    <s v="Stim3_Set3"/>
    <m/>
    <s v="yes"/>
    <x v="1"/>
    <n v="1"/>
    <x v="0"/>
    <x v="1"/>
  </r>
  <r>
    <n v="3"/>
    <n v="280"/>
    <n v="1"/>
    <x v="1"/>
    <x v="2"/>
    <s v="repeat"/>
    <s v="Stim3_Set3"/>
    <m/>
    <s v="no"/>
    <x v="1"/>
    <n v="0"/>
    <x v="0"/>
    <x v="0"/>
  </r>
  <r>
    <n v="3"/>
    <n v="281"/>
    <n v="2"/>
    <x v="0"/>
    <x v="0"/>
    <s v="filler"/>
    <s v="Stim3_Set2"/>
    <m/>
    <m/>
    <x v="0"/>
    <n v="0"/>
    <x v="1"/>
    <x v="0"/>
  </r>
  <r>
    <n v="3"/>
    <n v="282"/>
    <n v="1"/>
    <x v="1"/>
    <x v="1"/>
    <s v="nontarget"/>
    <s v="Stim1_Set3"/>
    <m/>
    <s v="yes"/>
    <x v="0"/>
    <n v="1"/>
    <x v="0"/>
    <x v="1"/>
  </r>
  <r>
    <n v="3"/>
    <n v="283"/>
    <n v="1"/>
    <x v="1"/>
    <x v="2"/>
    <s v="repeat"/>
    <s v="Stim1_Set3"/>
    <m/>
    <s v="no"/>
    <x v="1"/>
    <n v="0"/>
    <x v="0"/>
    <x v="0"/>
  </r>
  <r>
    <n v="3"/>
    <n v="284"/>
    <n v="2"/>
    <x v="0"/>
    <x v="0"/>
    <s v="filler"/>
    <s v="Stim1_Set2"/>
    <m/>
    <m/>
    <x v="0"/>
    <n v="0"/>
    <x v="1"/>
    <x v="0"/>
  </r>
  <r>
    <n v="4"/>
    <n v="285"/>
    <n v="1"/>
    <x v="1"/>
    <x v="1"/>
    <s v="nontarget"/>
    <s v="Stim4_Set4"/>
    <m/>
    <s v="yes"/>
    <x v="0"/>
    <n v="1"/>
    <x v="0"/>
    <x v="1"/>
  </r>
  <r>
    <n v="4"/>
    <n v="286"/>
    <n v="1"/>
    <x v="1"/>
    <x v="2"/>
    <s v="repeat"/>
    <s v="Stim4_Set4"/>
    <m/>
    <s v="no"/>
    <x v="1"/>
    <n v="0"/>
    <x v="0"/>
    <x v="0"/>
  </r>
  <r>
    <n v="4"/>
    <n v="287"/>
    <n v="2"/>
    <x v="0"/>
    <x v="0"/>
    <s v="filler"/>
    <s v="Stim4_Set3"/>
    <m/>
    <m/>
    <x v="0"/>
    <n v="0"/>
    <x v="1"/>
    <x v="0"/>
  </r>
  <r>
    <n v="4"/>
    <n v="288"/>
    <n v="1"/>
    <x v="1"/>
    <x v="1"/>
    <s v="nontarget"/>
    <s v="Stim6_Set4"/>
    <m/>
    <s v="yes"/>
    <x v="0"/>
    <n v="1"/>
    <x v="0"/>
    <x v="1"/>
  </r>
  <r>
    <n v="4"/>
    <n v="289"/>
    <n v="2"/>
    <x v="0"/>
    <x v="2"/>
    <s v="switch"/>
    <s v="Stim6_Set4"/>
    <m/>
    <s v="no"/>
    <x v="0"/>
    <n v="0"/>
    <x v="0"/>
    <x v="0"/>
  </r>
  <r>
    <n v="4"/>
    <n v="290"/>
    <n v="2"/>
    <x v="0"/>
    <x v="1"/>
    <s v="nontarget"/>
    <s v="Stim2_Set3"/>
    <m/>
    <s v="yes"/>
    <x v="1"/>
    <n v="0"/>
    <x v="1"/>
    <x v="0"/>
  </r>
  <r>
    <n v="4"/>
    <n v="291"/>
    <n v="2"/>
    <x v="0"/>
    <x v="2"/>
    <s v="repeat"/>
    <s v="Stim2_Set4"/>
    <m/>
    <s v="no"/>
    <x v="1"/>
    <n v="0"/>
    <x v="0"/>
    <x v="0"/>
  </r>
  <r>
    <n v="4"/>
    <n v="292"/>
    <n v="1"/>
    <x v="1"/>
    <x v="0"/>
    <s v="filler"/>
    <s v="Stim7_Set3"/>
    <m/>
    <m/>
    <x v="0"/>
    <n v="0"/>
    <x v="1"/>
    <x v="0"/>
  </r>
  <r>
    <n v="4"/>
    <n v="293"/>
    <n v="1"/>
    <x v="1"/>
    <x v="0"/>
    <s v="filler"/>
    <s v="Stim1_Set3"/>
    <m/>
    <s v="yes"/>
    <x v="1"/>
    <n v="0"/>
    <x v="0"/>
    <x v="1"/>
  </r>
  <r>
    <n v="4"/>
    <n v="294"/>
    <n v="2"/>
    <x v="0"/>
    <x v="0"/>
    <s v="filler"/>
    <s v="Stim2_Set3"/>
    <m/>
    <m/>
    <x v="0"/>
    <n v="0"/>
    <x v="0"/>
    <x v="1"/>
  </r>
  <r>
    <n v="4"/>
    <n v="295"/>
    <n v="2"/>
    <x v="0"/>
    <x v="1"/>
    <s v="nontarget"/>
    <s v="Stim5_Set4"/>
    <m/>
    <s v="yes"/>
    <x v="1"/>
    <n v="1"/>
    <x v="0"/>
    <x v="1"/>
  </r>
  <r>
    <n v="4"/>
    <n v="296"/>
    <n v="1"/>
    <x v="1"/>
    <x v="2"/>
    <s v="switch"/>
    <s v="Stim5_Set4"/>
    <m/>
    <s v="no"/>
    <x v="0"/>
    <n v="0"/>
    <x v="0"/>
    <x v="0"/>
  </r>
  <r>
    <n v="4"/>
    <n v="297"/>
    <n v="1"/>
    <x v="1"/>
    <x v="1"/>
    <s v="nontarget"/>
    <s v="Stim1_Set4"/>
    <m/>
    <s v="yes"/>
    <x v="1"/>
    <n v="1"/>
    <x v="1"/>
    <x v="0"/>
  </r>
  <r>
    <n v="4"/>
    <n v="298"/>
    <n v="2"/>
    <x v="0"/>
    <x v="2"/>
    <s v="switch"/>
    <s v="Stim1_Set4"/>
    <m/>
    <s v="no"/>
    <x v="0"/>
    <n v="0"/>
    <x v="0"/>
    <x v="0"/>
  </r>
  <r>
    <n v="4"/>
    <n v="299"/>
    <n v="1"/>
    <x v="1"/>
    <x v="0"/>
    <s v="filler"/>
    <s v="Stim6_Set3"/>
    <m/>
    <m/>
    <x v="0"/>
    <n v="0"/>
    <x v="1"/>
    <x v="0"/>
  </r>
  <r>
    <n v="4"/>
    <n v="300"/>
    <n v="2"/>
    <x v="0"/>
    <x v="1"/>
    <s v="nontarget"/>
    <s v="Stim8_Set4"/>
    <m/>
    <s v="yes"/>
    <x v="0"/>
    <n v="1"/>
    <x v="0"/>
    <x v="1"/>
  </r>
  <r>
    <n v="4"/>
    <n v="301"/>
    <n v="2"/>
    <x v="0"/>
    <x v="2"/>
    <s v="repeat"/>
    <s v="Stim8_Set4"/>
    <m/>
    <s v="no"/>
    <x v="1"/>
    <n v="0"/>
    <x v="0"/>
    <x v="0"/>
  </r>
  <r>
    <n v="4"/>
    <n v="302"/>
    <n v="1"/>
    <x v="1"/>
    <x v="0"/>
    <s v="filler"/>
    <s v="Stim8_Set3"/>
    <m/>
    <m/>
    <x v="0"/>
    <n v="0"/>
    <x v="1"/>
    <x v="0"/>
  </r>
  <r>
    <n v="4"/>
    <n v="303"/>
    <n v="2"/>
    <x v="0"/>
    <x v="0"/>
    <s v="filler"/>
    <s v="Stim1_Set3"/>
    <m/>
    <m/>
    <x v="0"/>
    <n v="0"/>
    <x v="0"/>
    <x v="1"/>
  </r>
  <r>
    <n v="4"/>
    <n v="304"/>
    <n v="2"/>
    <x v="0"/>
    <x v="1"/>
    <s v="nontarget"/>
    <s v="Stim3_Set4"/>
    <m/>
    <s v="yes"/>
    <x v="1"/>
    <n v="1"/>
    <x v="0"/>
    <x v="1"/>
  </r>
  <r>
    <n v="4"/>
    <n v="305"/>
    <n v="1"/>
    <x v="1"/>
    <x v="2"/>
    <s v="switch"/>
    <s v="Stim3_Set4"/>
    <m/>
    <s v="no"/>
    <x v="0"/>
    <n v="0"/>
    <x v="0"/>
    <x v="0"/>
  </r>
  <r>
    <n v="4"/>
    <n v="306"/>
    <n v="1"/>
    <x v="1"/>
    <x v="0"/>
    <s v="filler"/>
    <s v="Stim5_Set3"/>
    <m/>
    <m/>
    <x v="1"/>
    <n v="0"/>
    <x v="1"/>
    <x v="0"/>
  </r>
  <r>
    <n v="4"/>
    <n v="307"/>
    <n v="2"/>
    <x v="0"/>
    <x v="0"/>
    <s v="filler"/>
    <m/>
    <s v="here"/>
    <s v="yes"/>
    <x v="0"/>
    <n v="0"/>
    <x v="0"/>
    <x v="1"/>
  </r>
  <r>
    <n v="4"/>
    <n v="308"/>
    <n v="1"/>
    <x v="1"/>
    <x v="0"/>
    <s v="filler"/>
    <s v="Stim3_Set3"/>
    <m/>
    <m/>
    <x v="0"/>
    <n v="0"/>
    <x v="0"/>
    <x v="1"/>
  </r>
  <r>
    <n v="4"/>
    <n v="309"/>
    <n v="1"/>
    <x v="1"/>
    <x v="1"/>
    <s v="nontarget"/>
    <s v="Stim7_Set4"/>
    <m/>
    <s v="yes"/>
    <x v="1"/>
    <n v="1"/>
    <x v="0"/>
    <x v="1"/>
  </r>
  <r>
    <n v="4"/>
    <n v="310"/>
    <n v="1"/>
    <x v="1"/>
    <x v="2"/>
    <s v="repeat"/>
    <s v="Stim7_Set4"/>
    <m/>
    <s v="no"/>
    <x v="1"/>
    <n v="0"/>
    <x v="0"/>
    <x v="0"/>
  </r>
  <r>
    <s v="BREAK"/>
    <n v="311"/>
    <m/>
    <x v="2"/>
    <x v="3"/>
    <m/>
    <m/>
    <m/>
    <s v="no"/>
    <x v="0"/>
    <n v="0"/>
    <x v="1"/>
    <x v="0"/>
  </r>
  <r>
    <n v="1"/>
    <n v="312"/>
    <n v="2"/>
    <x v="0"/>
    <x v="0"/>
    <s v="filler"/>
    <s v="Stim6_Set4"/>
    <m/>
    <m/>
    <x v="0"/>
    <n v="0"/>
    <x v="0"/>
    <x v="0"/>
  </r>
  <r>
    <n v="1"/>
    <n v="313"/>
    <n v="2"/>
    <x v="0"/>
    <x v="1"/>
    <s v="nontarget"/>
    <s v="Stim5_Set1"/>
    <m/>
    <s v="yes"/>
    <x v="1"/>
    <n v="1"/>
    <x v="0"/>
    <x v="1"/>
  </r>
  <r>
    <n v="1"/>
    <n v="314"/>
    <n v="2"/>
    <x v="0"/>
    <x v="2"/>
    <s v="repeat"/>
    <s v="Stim5_Set1"/>
    <m/>
    <s v="no"/>
    <x v="1"/>
    <n v="0"/>
    <x v="0"/>
    <x v="0"/>
  </r>
  <r>
    <n v="1"/>
    <n v="315"/>
    <n v="1"/>
    <x v="1"/>
    <x v="0"/>
    <s v="filler"/>
    <s v="Stim3_Set4"/>
    <m/>
    <m/>
    <x v="0"/>
    <n v="0"/>
    <x v="1"/>
    <x v="0"/>
  </r>
  <r>
    <n v="1"/>
    <n v="316"/>
    <n v="1"/>
    <x v="1"/>
    <x v="0"/>
    <s v="filler"/>
    <s v="Stim4_Set4"/>
    <m/>
    <s v="yes"/>
    <x v="1"/>
    <n v="0"/>
    <x v="0"/>
    <x v="1"/>
  </r>
  <r>
    <n v="1"/>
    <n v="317"/>
    <n v="1"/>
    <x v="1"/>
    <x v="0"/>
    <s v="filler"/>
    <s v="Stim1_Set4"/>
    <m/>
    <m/>
    <x v="1"/>
    <n v="0"/>
    <x v="0"/>
    <x v="1"/>
  </r>
  <r>
    <n v="1"/>
    <n v="318"/>
    <n v="2"/>
    <x v="0"/>
    <x v="1"/>
    <s v="nontarget"/>
    <s v="Stim8_Set1"/>
    <m/>
    <s v="yes"/>
    <x v="0"/>
    <n v="1"/>
    <x v="0"/>
    <x v="1"/>
  </r>
  <r>
    <n v="1"/>
    <n v="319"/>
    <n v="2"/>
    <x v="0"/>
    <x v="2"/>
    <s v="repeat"/>
    <s v="Stim8_Set1"/>
    <m/>
    <s v="no"/>
    <x v="1"/>
    <n v="0"/>
    <x v="0"/>
    <x v="0"/>
  </r>
  <r>
    <n v="1"/>
    <n v="320"/>
    <n v="1"/>
    <x v="1"/>
    <x v="0"/>
    <s v="filler"/>
    <s v="Stim8_Set4"/>
    <m/>
    <m/>
    <x v="0"/>
    <n v="0"/>
    <x v="1"/>
    <x v="0"/>
  </r>
  <r>
    <n v="1"/>
    <n v="321"/>
    <n v="2"/>
    <x v="0"/>
    <x v="1"/>
    <s v="nontarget"/>
    <s v="Stim7_Set1"/>
    <m/>
    <s v="yes"/>
    <x v="0"/>
    <n v="1"/>
    <x v="0"/>
    <x v="1"/>
  </r>
  <r>
    <n v="1"/>
    <n v="322"/>
    <n v="1"/>
    <x v="1"/>
    <x v="2"/>
    <s v="switch"/>
    <s v="Stim7_Set1"/>
    <m/>
    <s v="no"/>
    <x v="0"/>
    <n v="0"/>
    <x v="0"/>
    <x v="0"/>
  </r>
  <r>
    <n v="1"/>
    <n v="323"/>
    <n v="1"/>
    <x v="1"/>
    <x v="0"/>
    <s v="filler"/>
    <s v="Stim4_Set4"/>
    <m/>
    <m/>
    <x v="1"/>
    <n v="0"/>
    <x v="1"/>
    <x v="0"/>
  </r>
  <r>
    <n v="1"/>
    <n v="324"/>
    <n v="1"/>
    <x v="1"/>
    <x v="1"/>
    <s v="nontarget"/>
    <s v="Stim3_Set1"/>
    <m/>
    <s v="yes"/>
    <x v="1"/>
    <n v="1"/>
    <x v="0"/>
    <x v="1"/>
  </r>
  <r>
    <n v="1"/>
    <n v="325"/>
    <n v="2"/>
    <x v="0"/>
    <x v="2"/>
    <s v="switch"/>
    <s v="Stim3_Set1"/>
    <m/>
    <s v="no"/>
    <x v="0"/>
    <n v="0"/>
    <x v="0"/>
    <x v="0"/>
  </r>
  <r>
    <n v="1"/>
    <n v="326"/>
    <n v="2"/>
    <x v="0"/>
    <x v="1"/>
    <s v="nontarget"/>
    <s v="Stim2_Set1"/>
    <m/>
    <s v="yes"/>
    <x v="1"/>
    <n v="1"/>
    <x v="1"/>
    <x v="0"/>
  </r>
  <r>
    <n v="1"/>
    <n v="327"/>
    <n v="1"/>
    <x v="1"/>
    <x v="2"/>
    <s v="switch"/>
    <s v="Stim2_Set1"/>
    <m/>
    <s v="no"/>
    <x v="0"/>
    <n v="0"/>
    <x v="0"/>
    <x v="0"/>
  </r>
  <r>
    <n v="1"/>
    <n v="328"/>
    <n v="1"/>
    <x v="1"/>
    <x v="0"/>
    <s v="filler"/>
    <s v="Stim7_Set4"/>
    <m/>
    <m/>
    <x v="1"/>
    <n v="0"/>
    <x v="1"/>
    <x v="0"/>
  </r>
  <r>
    <n v="1"/>
    <n v="329"/>
    <n v="2"/>
    <x v="0"/>
    <x v="0"/>
    <s v="filler"/>
    <s v="Stim5_Set4"/>
    <m/>
    <m/>
    <x v="0"/>
    <n v="0"/>
    <x v="0"/>
    <x v="1"/>
  </r>
  <r>
    <n v="1"/>
    <n v="330"/>
    <n v="1"/>
    <x v="1"/>
    <x v="1"/>
    <s v="nontarget"/>
    <s v="Stim4_Set1"/>
    <m/>
    <s v="yes"/>
    <x v="0"/>
    <n v="1"/>
    <x v="0"/>
    <x v="1"/>
  </r>
  <r>
    <n v="1"/>
    <n v="331"/>
    <n v="1"/>
    <x v="1"/>
    <x v="2"/>
    <s v="repeat"/>
    <s v="Stim4_Set1"/>
    <m/>
    <s v="no"/>
    <x v="1"/>
    <n v="0"/>
    <x v="0"/>
    <x v="0"/>
  </r>
  <r>
    <n v="1"/>
    <n v="332"/>
    <n v="2"/>
    <x v="0"/>
    <x v="0"/>
    <s v="filler"/>
    <s v="Stim2_Set4"/>
    <m/>
    <m/>
    <x v="0"/>
    <n v="0"/>
    <x v="1"/>
    <x v="0"/>
  </r>
  <r>
    <n v="1"/>
    <n v="333"/>
    <n v="1"/>
    <x v="1"/>
    <x v="1"/>
    <s v="nontarget"/>
    <s v="Stim1_Set1"/>
    <m/>
    <s v="yes"/>
    <x v="0"/>
    <n v="1"/>
    <x v="0"/>
    <x v="1"/>
  </r>
  <r>
    <n v="1"/>
    <n v="334"/>
    <n v="1"/>
    <x v="1"/>
    <x v="2"/>
    <s v="repeat"/>
    <s v="Stim1_Set1"/>
    <m/>
    <s v="no"/>
    <x v="1"/>
    <n v="0"/>
    <x v="0"/>
    <x v="0"/>
  </r>
  <r>
    <n v="1"/>
    <n v="335"/>
    <n v="1"/>
    <x v="1"/>
    <x v="1"/>
    <s v="nontarget"/>
    <s v="Stim6_Set1"/>
    <m/>
    <s v="yes"/>
    <x v="1"/>
    <n v="1"/>
    <x v="1"/>
    <x v="0"/>
  </r>
  <r>
    <n v="1"/>
    <n v="336"/>
    <n v="2"/>
    <x v="0"/>
    <x v="2"/>
    <s v="switch"/>
    <s v="Stim6_Set1"/>
    <m/>
    <s v="no"/>
    <x v="0"/>
    <n v="0"/>
    <x v="0"/>
    <x v="0"/>
  </r>
  <r>
    <n v="2"/>
    <n v="337"/>
    <n v="1"/>
    <x v="1"/>
    <x v="0"/>
    <s v="filler"/>
    <s v="Stim5_Set1"/>
    <m/>
    <m/>
    <x v="0"/>
    <n v="0"/>
    <x v="1"/>
    <x v="0"/>
  </r>
  <r>
    <n v="2"/>
    <n v="338"/>
    <n v="1"/>
    <x v="1"/>
    <x v="1"/>
    <s v="nontarget"/>
    <s v="Stim8_Set2"/>
    <m/>
    <s v="yes"/>
    <x v="1"/>
    <n v="1"/>
    <x v="0"/>
    <x v="1"/>
  </r>
  <r>
    <n v="2"/>
    <n v="339"/>
    <n v="1"/>
    <x v="1"/>
    <x v="2"/>
    <s v="repeat"/>
    <s v="Stim8_Set2"/>
    <m/>
    <s v="no"/>
    <x v="1"/>
    <n v="0"/>
    <x v="0"/>
    <x v="0"/>
  </r>
  <r>
    <n v="2"/>
    <n v="340"/>
    <n v="2"/>
    <x v="0"/>
    <x v="0"/>
    <s v="filler"/>
    <s v="Stim1_Set1"/>
    <m/>
    <m/>
    <x v="0"/>
    <n v="0"/>
    <x v="1"/>
    <x v="0"/>
  </r>
  <r>
    <n v="2"/>
    <m/>
    <n v="2"/>
    <x v="0"/>
    <x v="0"/>
    <s v="filler"/>
    <s v="Stim2_Set1"/>
    <m/>
    <s v="yes"/>
    <x v="1"/>
    <n v="0"/>
    <x v="0"/>
    <x v="1"/>
  </r>
  <r>
    <n v="2"/>
    <n v="341"/>
    <n v="1"/>
    <x v="1"/>
    <x v="1"/>
    <s v="nontarget"/>
    <s v="Stim4_Set2"/>
    <m/>
    <s v="yes"/>
    <x v="0"/>
    <n v="1"/>
    <x v="0"/>
    <x v="1"/>
  </r>
  <r>
    <n v="2"/>
    <n v="342"/>
    <n v="1"/>
    <x v="1"/>
    <x v="2"/>
    <s v="repeat"/>
    <s v="Stim4_Set2"/>
    <m/>
    <s v="no"/>
    <x v="1"/>
    <n v="0"/>
    <x v="0"/>
    <x v="0"/>
  </r>
  <r>
    <n v="2"/>
    <n v="343"/>
    <n v="1"/>
    <x v="1"/>
    <x v="0"/>
    <s v="filler"/>
    <s v="Stim8_Set1"/>
    <m/>
    <m/>
    <x v="1"/>
    <n v="0"/>
    <x v="1"/>
    <x v="0"/>
  </r>
  <r>
    <n v="2"/>
    <n v="344"/>
    <n v="2"/>
    <x v="0"/>
    <x v="0"/>
    <s v="filler"/>
    <m/>
    <s v="here"/>
    <s v="yes"/>
    <x v="0"/>
    <n v="0"/>
    <x v="0"/>
    <x v="1"/>
  </r>
  <r>
    <n v="2"/>
    <n v="345"/>
    <n v="1"/>
    <x v="1"/>
    <x v="0"/>
    <s v="filler"/>
    <s v="Stim7_Set1"/>
    <m/>
    <m/>
    <x v="0"/>
    <n v="0"/>
    <x v="0"/>
    <x v="1"/>
  </r>
  <r>
    <n v="2"/>
    <n v="346"/>
    <n v="1"/>
    <x v="1"/>
    <x v="1"/>
    <s v="nontarget"/>
    <s v="Stim6_Set2"/>
    <m/>
    <s v="yes"/>
    <x v="1"/>
    <n v="1"/>
    <x v="0"/>
    <x v="1"/>
  </r>
  <r>
    <n v="2"/>
    <n v="347"/>
    <n v="1"/>
    <x v="0"/>
    <x v="2"/>
    <s v="switch"/>
    <s v="Stim6_Set2"/>
    <m/>
    <s v="no"/>
    <x v="0"/>
    <n v="0"/>
    <x v="0"/>
    <x v="0"/>
  </r>
  <r>
    <n v="2"/>
    <n v="348"/>
    <n v="2"/>
    <x v="0"/>
    <x v="0"/>
    <s v="filler"/>
    <s v="Stim3_Set1"/>
    <m/>
    <m/>
    <x v="1"/>
    <n v="0"/>
    <x v="1"/>
    <x v="0"/>
  </r>
  <r>
    <n v="2"/>
    <n v="349"/>
    <n v="2"/>
    <x v="0"/>
    <x v="1"/>
    <s v="nontarget"/>
    <s v="Stim2_Set2"/>
    <m/>
    <s v="yes"/>
    <x v="1"/>
    <n v="1"/>
    <x v="0"/>
    <x v="1"/>
  </r>
  <r>
    <n v="2"/>
    <n v="350"/>
    <n v="1"/>
    <x v="1"/>
    <x v="2"/>
    <s v="switch"/>
    <s v="Stim2_Set2"/>
    <m/>
    <s v="no"/>
    <x v="0"/>
    <n v="0"/>
    <x v="0"/>
    <x v="0"/>
  </r>
  <r>
    <n v="2"/>
    <n v="351"/>
    <n v="1"/>
    <x v="1"/>
    <x v="0"/>
    <s v="filler"/>
    <s v="Stim2_Set1"/>
    <m/>
    <m/>
    <x v="1"/>
    <n v="0"/>
    <x v="1"/>
    <x v="0"/>
  </r>
  <r>
    <n v="2"/>
    <n v="352"/>
    <n v="1"/>
    <x v="1"/>
    <x v="1"/>
    <s v="nontarget"/>
    <s v="Stim7_Set2"/>
    <m/>
    <s v="yes"/>
    <x v="1"/>
    <n v="1"/>
    <x v="0"/>
    <x v="1"/>
  </r>
  <r>
    <n v="2"/>
    <n v="353"/>
    <n v="2"/>
    <x v="0"/>
    <x v="2"/>
    <s v="switch"/>
    <s v="Stim7_Set2"/>
    <m/>
    <s v="no"/>
    <x v="0"/>
    <n v="0"/>
    <x v="0"/>
    <x v="0"/>
  </r>
  <r>
    <n v="2"/>
    <n v="354"/>
    <n v="2"/>
    <x v="0"/>
    <x v="1"/>
    <s v="nontarget"/>
    <s v="Stim3_Set2"/>
    <m/>
    <s v="yes"/>
    <x v="1"/>
    <n v="1"/>
    <x v="1"/>
    <x v="0"/>
  </r>
  <r>
    <n v="2"/>
    <n v="355"/>
    <n v="2"/>
    <x v="0"/>
    <x v="2"/>
    <s v="repeat"/>
    <s v="Stim3_Set2"/>
    <m/>
    <s v="no"/>
    <x v="1"/>
    <n v="0"/>
    <x v="0"/>
    <x v="0"/>
  </r>
  <r>
    <n v="2"/>
    <n v="356"/>
    <n v="1"/>
    <x v="1"/>
    <x v="0"/>
    <s v="filler"/>
    <s v="Stim4_Set1"/>
    <m/>
    <m/>
    <x v="0"/>
    <n v="0"/>
    <x v="1"/>
    <x v="0"/>
  </r>
  <r>
    <n v="2"/>
    <n v="357"/>
    <n v="2"/>
    <x v="0"/>
    <x v="1"/>
    <s v="nontarget"/>
    <s v="Stim5_Set2"/>
    <m/>
    <s v="yes"/>
    <x v="0"/>
    <n v="1"/>
    <x v="0"/>
    <x v="1"/>
  </r>
  <r>
    <n v="2"/>
    <n v="358"/>
    <n v="2"/>
    <x v="0"/>
    <x v="2"/>
    <s v="repeat"/>
    <s v="Stim5_Set2"/>
    <m/>
    <s v="no"/>
    <x v="1"/>
    <n v="0"/>
    <x v="0"/>
    <x v="0"/>
  </r>
  <r>
    <n v="2"/>
    <n v="359"/>
    <n v="1"/>
    <x v="1"/>
    <x v="0"/>
    <s v="filler"/>
    <m/>
    <s v="here"/>
    <m/>
    <x v="0"/>
    <n v="0"/>
    <x v="1"/>
    <x v="0"/>
  </r>
  <r>
    <n v="2"/>
    <n v="360"/>
    <n v="2"/>
    <x v="0"/>
    <x v="0"/>
    <s v="filler"/>
    <s v="Stim6_Set1"/>
    <m/>
    <m/>
    <x v="0"/>
    <n v="0"/>
    <x v="0"/>
    <x v="1"/>
  </r>
  <r>
    <n v="2"/>
    <n v="361"/>
    <n v="2"/>
    <x v="0"/>
    <x v="1"/>
    <s v="nontarget"/>
    <s v="Stim1_Set2"/>
    <m/>
    <s v="yes"/>
    <x v="1"/>
    <n v="1"/>
    <x v="0"/>
    <x v="1"/>
  </r>
  <r>
    <n v="2"/>
    <n v="362"/>
    <n v="1"/>
    <x v="1"/>
    <x v="2"/>
    <s v="switch"/>
    <s v="Stim1_Set2"/>
    <m/>
    <s v="no"/>
    <x v="0"/>
    <n v="0"/>
    <x v="0"/>
    <x v="0"/>
  </r>
  <r>
    <n v="3"/>
    <n v="363"/>
    <n v="1"/>
    <x v="1"/>
    <x v="1"/>
    <s v="nontarget"/>
    <s v="Stim5_Set3"/>
    <m/>
    <s v="yes"/>
    <x v="1"/>
    <n v="1"/>
    <x v="1"/>
    <x v="0"/>
  </r>
  <r>
    <n v="3"/>
    <n v="364"/>
    <n v="2"/>
    <x v="0"/>
    <x v="2"/>
    <s v="switch"/>
    <s v="Stim5_Set3"/>
    <m/>
    <s v="no"/>
    <x v="0"/>
    <n v="0"/>
    <x v="0"/>
    <x v="0"/>
  </r>
  <r>
    <n v="3"/>
    <n v="365"/>
    <n v="2"/>
    <x v="0"/>
    <x v="0"/>
    <s v="filler"/>
    <s v="Stim8_Set2"/>
    <m/>
    <m/>
    <x v="1"/>
    <n v="0"/>
    <x v="1"/>
    <x v="0"/>
  </r>
  <r>
    <n v="3"/>
    <n v="366"/>
    <n v="2"/>
    <x v="0"/>
    <x v="1"/>
    <s v="nontarget"/>
    <s v="Stim1_Set3"/>
    <m/>
    <s v="yes"/>
    <x v="1"/>
    <n v="1"/>
    <x v="0"/>
    <x v="1"/>
  </r>
  <r>
    <n v="3"/>
    <n v="367"/>
    <n v="1"/>
    <x v="1"/>
    <x v="2"/>
    <s v="switch"/>
    <s v="Stim1_Set3"/>
    <m/>
    <s v="no"/>
    <x v="0"/>
    <n v="0"/>
    <x v="0"/>
    <x v="0"/>
  </r>
  <r>
    <n v="3"/>
    <n v="368"/>
    <n v="1"/>
    <x v="1"/>
    <x v="0"/>
    <s v="filler"/>
    <s v="Stim4_Set2"/>
    <m/>
    <m/>
    <x v="1"/>
    <n v="0"/>
    <x v="1"/>
    <x v="0"/>
  </r>
  <r>
    <n v="3"/>
    <n v="369"/>
    <n v="1"/>
    <x v="1"/>
    <x v="1"/>
    <s v="nontarget"/>
    <s v="Stim7_Set3"/>
    <m/>
    <s v="yes"/>
    <x v="1"/>
    <n v="1"/>
    <x v="0"/>
    <x v="1"/>
  </r>
  <r>
    <n v="3"/>
    <n v="370"/>
    <n v="2"/>
    <x v="0"/>
    <x v="2"/>
    <s v="switch"/>
    <s v="Stim7_Set3"/>
    <m/>
    <s v="no"/>
    <x v="0"/>
    <n v="0"/>
    <x v="0"/>
    <x v="0"/>
  </r>
  <r>
    <n v="3"/>
    <n v="371"/>
    <n v="1"/>
    <x v="1"/>
    <x v="0"/>
    <s v="filler"/>
    <s v="Stim6_Set2"/>
    <m/>
    <m/>
    <x v="0"/>
    <n v="0"/>
    <x v="1"/>
    <x v="0"/>
  </r>
  <r>
    <n v="3"/>
    <n v="372"/>
    <n v="1"/>
    <x v="1"/>
    <x v="0"/>
    <s v="filler"/>
    <s v="Stim3_Set2"/>
    <m/>
    <m/>
    <x v="1"/>
    <n v="0"/>
    <x v="0"/>
    <x v="1"/>
  </r>
  <r>
    <n v="3"/>
    <n v="373"/>
    <n v="2"/>
    <x v="0"/>
    <x v="1"/>
    <s v="nontarget"/>
    <s v="Stim3_Set3"/>
    <m/>
    <s v="yes"/>
    <x v="0"/>
    <n v="1"/>
    <x v="0"/>
    <x v="1"/>
  </r>
  <r>
    <n v="3"/>
    <n v="374"/>
    <n v="2"/>
    <x v="0"/>
    <x v="2"/>
    <s v="repeat"/>
    <s v="Stim3_Set3"/>
    <m/>
    <s v="no"/>
    <x v="1"/>
    <n v="0"/>
    <x v="0"/>
    <x v="0"/>
  </r>
  <r>
    <n v="3"/>
    <n v="375"/>
    <n v="2"/>
    <x v="0"/>
    <x v="0"/>
    <s v="filler"/>
    <s v="Stim2_Set2"/>
    <m/>
    <m/>
    <x v="1"/>
    <n v="0"/>
    <x v="1"/>
    <x v="0"/>
  </r>
  <r>
    <n v="3"/>
    <n v="376"/>
    <n v="1"/>
    <x v="1"/>
    <x v="0"/>
    <s v="filler"/>
    <s v="Stim7_Set2"/>
    <m/>
    <m/>
    <x v="0"/>
    <n v="0"/>
    <x v="0"/>
    <x v="1"/>
  </r>
  <r>
    <n v="3"/>
    <n v="377"/>
    <n v="2"/>
    <x v="0"/>
    <x v="1"/>
    <s v="nontarget"/>
    <s v="Stim2_Set3"/>
    <m/>
    <s v="yes"/>
    <x v="0"/>
    <n v="1"/>
    <x v="0"/>
    <x v="1"/>
  </r>
  <r>
    <n v="3"/>
    <n v="378"/>
    <n v="2"/>
    <x v="0"/>
    <x v="2"/>
    <s v="repeat"/>
    <s v="Stim2_Set3"/>
    <m/>
    <s v="no"/>
    <x v="1"/>
    <n v="0"/>
    <x v="0"/>
    <x v="0"/>
  </r>
  <r>
    <n v="3"/>
    <n v="379"/>
    <n v="2"/>
    <x v="0"/>
    <x v="1"/>
    <s v="nontarget"/>
    <s v="Stim8_Set3"/>
    <m/>
    <s v="yes"/>
    <x v="1"/>
    <n v="1"/>
    <x v="1"/>
    <x v="0"/>
  </r>
  <r>
    <n v="3"/>
    <n v="380"/>
    <n v="1"/>
    <x v="1"/>
    <x v="2"/>
    <s v="switch"/>
    <s v="Stim8_Set3"/>
    <m/>
    <s v="no"/>
    <x v="0"/>
    <n v="0"/>
    <x v="0"/>
    <x v="0"/>
  </r>
  <r>
    <n v="3"/>
    <n v="381"/>
    <n v="2"/>
    <x v="0"/>
    <x v="0"/>
    <s v="filler"/>
    <s v="Stim5_Set2"/>
    <m/>
    <m/>
    <x v="0"/>
    <n v="0"/>
    <x v="1"/>
    <x v="0"/>
  </r>
  <r>
    <n v="3"/>
    <n v="382"/>
    <n v="2"/>
    <x v="0"/>
    <x v="0"/>
    <s v="filler"/>
    <s v="Stim4_Set2"/>
    <m/>
    <s v="yes"/>
    <x v="1"/>
    <n v="0"/>
    <x v="0"/>
    <x v="1"/>
  </r>
  <r>
    <n v="3"/>
    <n v="383"/>
    <n v="1"/>
    <x v="1"/>
    <x v="0"/>
    <s v="filler"/>
    <s v="Stim3_Set2"/>
    <m/>
    <m/>
    <x v="0"/>
    <n v="0"/>
    <x v="0"/>
    <x v="1"/>
  </r>
  <r>
    <n v="3"/>
    <n v="384"/>
    <n v="1"/>
    <x v="1"/>
    <x v="1"/>
    <s v="nontarget"/>
    <s v="Stim6_Set3"/>
    <m/>
    <s v="yes"/>
    <x v="1"/>
    <n v="1"/>
    <x v="0"/>
    <x v="1"/>
  </r>
  <r>
    <n v="3"/>
    <n v="385"/>
    <n v="1"/>
    <x v="1"/>
    <x v="2"/>
    <s v="repeat"/>
    <s v="Stim6_Set3"/>
    <m/>
    <s v="no"/>
    <x v="1"/>
    <n v="0"/>
    <x v="0"/>
    <x v="0"/>
  </r>
  <r>
    <n v="3"/>
    <n v="386"/>
    <n v="2"/>
    <x v="0"/>
    <x v="0"/>
    <s v="filler"/>
    <s v="Stim1_Set2"/>
    <m/>
    <m/>
    <x v="0"/>
    <n v="0"/>
    <x v="1"/>
    <x v="0"/>
  </r>
  <r>
    <n v="3"/>
    <n v="387"/>
    <n v="1"/>
    <x v="1"/>
    <x v="1"/>
    <s v="nontarget"/>
    <s v="Stim4_Set3"/>
    <m/>
    <s v="yes"/>
    <x v="0"/>
    <n v="1"/>
    <x v="0"/>
    <x v="1"/>
  </r>
  <r>
    <n v="3"/>
    <n v="388"/>
    <n v="1"/>
    <x v="1"/>
    <x v="2"/>
    <s v="repeat"/>
    <s v="Stim4_Set3"/>
    <m/>
    <s v="no"/>
    <x v="1"/>
    <n v="0"/>
    <x v="0"/>
    <x v="0"/>
  </r>
  <r>
    <n v="4"/>
    <n v="389"/>
    <n v="1"/>
    <x v="1"/>
    <x v="0"/>
    <s v="filler"/>
    <s v="Stim1_Set3"/>
    <m/>
    <m/>
    <x v="1"/>
    <n v="0"/>
    <x v="1"/>
    <x v="0"/>
  </r>
  <r>
    <n v="4"/>
    <n v="390"/>
    <n v="2"/>
    <x v="0"/>
    <x v="0"/>
    <s v="filler"/>
    <s v="Stim5_Set3"/>
    <m/>
    <m/>
    <x v="0"/>
    <n v="0"/>
    <x v="0"/>
    <x v="1"/>
  </r>
  <r>
    <n v="4"/>
    <n v="391"/>
    <n v="2"/>
    <x v="0"/>
    <x v="0"/>
    <s v="filler"/>
    <s v="Stim8_Set3"/>
    <m/>
    <m/>
    <x v="1"/>
    <n v="0"/>
    <x v="0"/>
    <x v="1"/>
  </r>
  <r>
    <n v="4"/>
    <n v="392"/>
    <n v="1"/>
    <x v="1"/>
    <x v="1"/>
    <s v="nontarget"/>
    <s v="Stim6_Set4"/>
    <m/>
    <s v="yes"/>
    <x v="0"/>
    <n v="1"/>
    <x v="0"/>
    <x v="1"/>
  </r>
  <r>
    <n v="4"/>
    <n v="393"/>
    <n v="1"/>
    <x v="1"/>
    <x v="2"/>
    <s v="repeat"/>
    <s v="Stim6_Set4"/>
    <m/>
    <s v="no"/>
    <x v="1"/>
    <n v="0"/>
    <x v="0"/>
    <x v="0"/>
  </r>
  <r>
    <n v="4"/>
    <n v="394"/>
    <n v="1"/>
    <x v="1"/>
    <x v="1"/>
    <s v="nontarget"/>
    <s v="Stim3_Set4"/>
    <m/>
    <s v="yes"/>
    <x v="1"/>
    <n v="1"/>
    <x v="1"/>
    <x v="0"/>
  </r>
  <r>
    <n v="4"/>
    <n v="395"/>
    <n v="2"/>
    <x v="0"/>
    <x v="2"/>
    <s v="switch"/>
    <s v="Stim3_Set4"/>
    <m/>
    <s v="no"/>
    <x v="0"/>
    <n v="0"/>
    <x v="0"/>
    <x v="0"/>
  </r>
  <r>
    <n v="4"/>
    <n v="396"/>
    <n v="1"/>
    <x v="1"/>
    <x v="0"/>
    <s v="filler"/>
    <s v="Stim7_Set3"/>
    <m/>
    <m/>
    <x v="0"/>
    <n v="0"/>
    <x v="1"/>
    <x v="0"/>
  </r>
  <r>
    <n v="4"/>
    <n v="397"/>
    <n v="2"/>
    <x v="0"/>
    <x v="1"/>
    <s v="nontarget"/>
    <s v="Stim5_Set4"/>
    <m/>
    <s v="yes"/>
    <x v="0"/>
    <n v="1"/>
    <x v="0"/>
    <x v="1"/>
  </r>
  <r>
    <n v="4"/>
    <n v="398"/>
    <n v="2"/>
    <x v="0"/>
    <x v="2"/>
    <s v="repeat"/>
    <s v="Stim5_Set4"/>
    <m/>
    <s v="no"/>
    <x v="1"/>
    <n v="0"/>
    <x v="0"/>
    <x v="0"/>
  </r>
  <r>
    <n v="4"/>
    <n v="399"/>
    <n v="2"/>
    <x v="0"/>
    <x v="1"/>
    <s v="nontarget"/>
    <s v="Stim1_Set4"/>
    <m/>
    <s v="yes"/>
    <x v="1"/>
    <n v="1"/>
    <x v="1"/>
    <x v="0"/>
  </r>
  <r>
    <n v="4"/>
    <n v="400"/>
    <n v="1"/>
    <x v="1"/>
    <x v="2"/>
    <s v="switch"/>
    <s v="Stim1_Set4"/>
    <m/>
    <s v="no"/>
    <x v="0"/>
    <n v="0"/>
    <x v="0"/>
    <x v="0"/>
  </r>
  <r>
    <n v="4"/>
    <n v="401"/>
    <n v="2"/>
    <x v="0"/>
    <x v="0"/>
    <s v="filler"/>
    <s v="Stim3_Set3"/>
    <m/>
    <m/>
    <x v="0"/>
    <n v="0"/>
    <x v="1"/>
    <x v="0"/>
  </r>
  <r>
    <n v="4"/>
    <n v="402"/>
    <n v="1"/>
    <x v="1"/>
    <x v="1"/>
    <s v="nontarget"/>
    <s v="Stim4_Set4"/>
    <m/>
    <s v="yes"/>
    <x v="0"/>
    <n v="1"/>
    <x v="0"/>
    <x v="1"/>
  </r>
  <r>
    <n v="4"/>
    <n v="403"/>
    <n v="2"/>
    <x v="0"/>
    <x v="2"/>
    <s v="switch"/>
    <s v="Stim4_Set4"/>
    <m/>
    <s v="no"/>
    <x v="0"/>
    <n v="0"/>
    <x v="0"/>
    <x v="0"/>
  </r>
  <r>
    <n v="4"/>
    <n v="404"/>
    <n v="1"/>
    <x v="1"/>
    <x v="0"/>
    <s v="filler"/>
    <m/>
    <s v="here"/>
    <m/>
    <x v="0"/>
    <n v="0"/>
    <x v="1"/>
    <x v="0"/>
  </r>
  <r>
    <n v="4"/>
    <n v="405"/>
    <n v="2"/>
    <x v="0"/>
    <x v="0"/>
    <s v="filler"/>
    <s v="Stim2_Set3"/>
    <m/>
    <m/>
    <x v="0"/>
    <n v="0"/>
    <x v="0"/>
    <x v="1"/>
  </r>
  <r>
    <n v="4"/>
    <n v="406"/>
    <n v="2"/>
    <x v="0"/>
    <x v="1"/>
    <s v="nontarget"/>
    <s v="Stim7_Set4"/>
    <m/>
    <s v="yes"/>
    <x v="1"/>
    <n v="1"/>
    <x v="0"/>
    <x v="1"/>
  </r>
  <r>
    <n v="4"/>
    <n v="407"/>
    <n v="2"/>
    <x v="0"/>
    <x v="2"/>
    <s v="repeat"/>
    <s v="Stim7_Set4"/>
    <m/>
    <s v="no"/>
    <x v="1"/>
    <n v="0"/>
    <x v="0"/>
    <x v="0"/>
  </r>
  <r>
    <n v="4"/>
    <n v="408"/>
    <n v="1"/>
    <x v="1"/>
    <x v="0"/>
    <s v="filler"/>
    <s v="Stim8_Set3"/>
    <m/>
    <m/>
    <x v="0"/>
    <n v="0"/>
    <x v="1"/>
    <x v="0"/>
  </r>
  <r>
    <n v="4"/>
    <n v="409"/>
    <n v="2"/>
    <x v="0"/>
    <x v="0"/>
    <s v="filler"/>
    <s v="Stim6_Set3"/>
    <m/>
    <s v="yes"/>
    <x v="0"/>
    <n v="0"/>
    <x v="0"/>
    <x v="1"/>
  </r>
  <r>
    <n v="4"/>
    <n v="410"/>
    <n v="2"/>
    <x v="0"/>
    <x v="1"/>
    <s v="nontarget"/>
    <s v="Stim8_Set4"/>
    <m/>
    <s v="yes"/>
    <x v="1"/>
    <n v="1"/>
    <x v="0"/>
    <x v="1"/>
  </r>
  <r>
    <n v="4"/>
    <n v="411"/>
    <n v="1"/>
    <x v="1"/>
    <x v="2"/>
    <s v="switch"/>
    <s v="Stim8_Set4"/>
    <m/>
    <s v="no"/>
    <x v="0"/>
    <n v="0"/>
    <x v="0"/>
    <x v="0"/>
  </r>
  <r>
    <n v="4"/>
    <n v="412"/>
    <n v="2"/>
    <x v="0"/>
    <x v="0"/>
    <s v="filler"/>
    <m/>
    <s v="here"/>
    <m/>
    <x v="0"/>
    <n v="0"/>
    <x v="1"/>
    <x v="0"/>
  </r>
  <r>
    <n v="4"/>
    <n v="413"/>
    <n v="1"/>
    <x v="1"/>
    <x v="0"/>
    <s v="filler"/>
    <s v="Stim4_Set3"/>
    <m/>
    <m/>
    <x v="0"/>
    <n v="0"/>
    <x v="0"/>
    <x v="1"/>
  </r>
  <r>
    <n v="4"/>
    <n v="414"/>
    <n v="1"/>
    <x v="1"/>
    <x v="1"/>
    <s v="nontarget"/>
    <s v="Stim2_Set4"/>
    <m/>
    <s v="yes"/>
    <x v="1"/>
    <n v="1"/>
    <x v="0"/>
    <x v="1"/>
  </r>
  <r>
    <n v="4"/>
    <n v="415"/>
    <n v="1"/>
    <x v="1"/>
    <x v="2"/>
    <s v="repeat"/>
    <s v="Stim2_Set4"/>
    <m/>
    <s v="no"/>
    <x v="1"/>
    <n v="0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5">
  <r>
    <n v="1"/>
    <n v="1"/>
    <n v="2"/>
    <x v="0"/>
    <x v="0"/>
    <s v="filler"/>
    <m/>
    <m/>
    <s v="yes"/>
    <x v="0"/>
    <n v="0"/>
    <x v="0"/>
    <n v="0"/>
  </r>
  <r>
    <n v="1"/>
    <n v="2"/>
    <n v="2"/>
    <x v="0"/>
    <x v="1"/>
    <s v="nontarget"/>
    <s v="Stim1_Set1"/>
    <m/>
    <s v="yes"/>
    <x v="1"/>
    <n v="1"/>
    <x v="0"/>
    <n v="1"/>
  </r>
  <r>
    <n v="1"/>
    <n v="3"/>
    <n v="2"/>
    <x v="0"/>
    <x v="2"/>
    <s v="repeat"/>
    <s v="Stim1_Set1"/>
    <m/>
    <s v="no"/>
    <x v="1"/>
    <n v="0"/>
    <x v="0"/>
    <n v="0"/>
  </r>
  <r>
    <n v="1"/>
    <n v="4"/>
    <n v="1"/>
    <x v="1"/>
    <x v="0"/>
    <s v="filler"/>
    <s v="Stim1_Set4"/>
    <m/>
    <m/>
    <x v="0"/>
    <n v="0"/>
    <x v="1"/>
    <n v="0"/>
  </r>
  <r>
    <n v="1"/>
    <n v="5"/>
    <n v="2"/>
    <x v="0"/>
    <x v="1"/>
    <s v="nontarget"/>
    <s v="Stim2_Set1"/>
    <m/>
    <s v="yes"/>
    <x v="0"/>
    <n v="1"/>
    <x v="0"/>
    <n v="1"/>
  </r>
  <r>
    <n v="1"/>
    <n v="6"/>
    <n v="2"/>
    <x v="0"/>
    <x v="2"/>
    <s v="repeat"/>
    <s v="Stim2_Set1"/>
    <m/>
    <s v="no"/>
    <x v="1"/>
    <n v="0"/>
    <x v="0"/>
    <n v="0"/>
  </r>
  <r>
    <n v="1"/>
    <n v="7"/>
    <n v="1"/>
    <x v="1"/>
    <x v="0"/>
    <s v="filler"/>
    <s v="Stim2_Set4"/>
    <m/>
    <m/>
    <x v="0"/>
    <n v="0"/>
    <x v="1"/>
    <n v="0"/>
  </r>
  <r>
    <n v="1"/>
    <m/>
    <n v="1"/>
    <x v="1"/>
    <x v="0"/>
    <s v="filler"/>
    <s v="Stim6_Set4"/>
    <m/>
    <s v="yes"/>
    <x v="1"/>
    <n v="0"/>
    <x v="0"/>
    <n v="1"/>
  </r>
  <r>
    <n v="1"/>
    <n v="8"/>
    <n v="2"/>
    <x v="0"/>
    <x v="1"/>
    <s v="nontarget"/>
    <s v="Stim3_Set1"/>
    <m/>
    <s v="yes"/>
    <x v="0"/>
    <n v="1"/>
    <x v="0"/>
    <n v="1"/>
  </r>
  <r>
    <n v="1"/>
    <n v="9"/>
    <n v="1"/>
    <x v="1"/>
    <x v="2"/>
    <s v="switch"/>
    <s v="Stim3_Set1"/>
    <m/>
    <s v="no"/>
    <x v="0"/>
    <n v="0"/>
    <x v="0"/>
    <n v="0"/>
  </r>
  <r>
    <n v="1"/>
    <n v="10"/>
    <n v="2"/>
    <x v="0"/>
    <x v="0"/>
    <s v="filler"/>
    <s v="Stim5_Set4"/>
    <m/>
    <m/>
    <x v="0"/>
    <n v="0"/>
    <x v="1"/>
    <n v="0"/>
  </r>
  <r>
    <n v="1"/>
    <n v="11"/>
    <n v="1"/>
    <x v="1"/>
    <x v="1"/>
    <s v="nontarget"/>
    <s v="Stim4_Set1"/>
    <m/>
    <s v="yes"/>
    <x v="0"/>
    <n v="1"/>
    <x v="0"/>
    <n v="1"/>
  </r>
  <r>
    <n v="1"/>
    <n v="12"/>
    <n v="2"/>
    <x v="0"/>
    <x v="2"/>
    <s v="switch"/>
    <s v="Stim4_Set1"/>
    <m/>
    <s v="no"/>
    <x v="0"/>
    <n v="0"/>
    <x v="0"/>
    <n v="0"/>
  </r>
  <r>
    <n v="1"/>
    <n v="13"/>
    <n v="2"/>
    <x v="0"/>
    <x v="0"/>
    <s v="filler"/>
    <s v="Stim3_Set4"/>
    <m/>
    <m/>
    <x v="1"/>
    <n v="0"/>
    <x v="1"/>
    <n v="0"/>
  </r>
  <r>
    <n v="1"/>
    <n v="14"/>
    <n v="2"/>
    <x v="0"/>
    <x v="1"/>
    <s v="nontarget"/>
    <s v="Stim5_Set1"/>
    <m/>
    <s v="yes"/>
    <x v="1"/>
    <n v="1"/>
    <x v="0"/>
    <n v="1"/>
  </r>
  <r>
    <n v="1"/>
    <n v="15"/>
    <n v="1"/>
    <x v="1"/>
    <x v="2"/>
    <s v="switch"/>
    <s v="Stim5_Set1"/>
    <m/>
    <s v="no"/>
    <x v="0"/>
    <n v="0"/>
    <x v="0"/>
    <n v="0"/>
  </r>
  <r>
    <n v="1"/>
    <n v="16"/>
    <n v="2"/>
    <x v="0"/>
    <x v="0"/>
    <s v="filler"/>
    <s v="Stim4_Set4"/>
    <m/>
    <m/>
    <x v="0"/>
    <n v="0"/>
    <x v="1"/>
    <n v="0"/>
  </r>
  <r>
    <n v="1"/>
    <n v="17"/>
    <n v="1"/>
    <x v="1"/>
    <x v="1"/>
    <s v="nontarget"/>
    <s v="Stim6_Set1"/>
    <m/>
    <s v="yes"/>
    <x v="0"/>
    <n v="1"/>
    <x v="0"/>
    <n v="1"/>
  </r>
  <r>
    <n v="1"/>
    <n v="18"/>
    <n v="1"/>
    <x v="1"/>
    <x v="2"/>
    <s v="repeat"/>
    <s v="Stim6_Set1"/>
    <m/>
    <s v="no"/>
    <x v="1"/>
    <n v="0"/>
    <x v="0"/>
    <n v="0"/>
  </r>
  <r>
    <n v="1"/>
    <n v="19"/>
    <n v="1"/>
    <x v="1"/>
    <x v="0"/>
    <s v="filler"/>
    <s v="Stim7_Set4"/>
    <m/>
    <m/>
    <x v="1"/>
    <n v="0"/>
    <x v="1"/>
    <n v="0"/>
  </r>
  <r>
    <n v="1"/>
    <n v="20"/>
    <n v="1"/>
    <x v="1"/>
    <x v="1"/>
    <s v="nontarget"/>
    <s v="Stim7_Set1"/>
    <m/>
    <s v="yes"/>
    <x v="1"/>
    <n v="1"/>
    <x v="0"/>
    <n v="1"/>
  </r>
  <r>
    <n v="1"/>
    <n v="21"/>
    <n v="1"/>
    <x v="1"/>
    <x v="2"/>
    <s v="repeat"/>
    <s v="Stim7_Set1"/>
    <m/>
    <s v="no"/>
    <x v="1"/>
    <n v="0"/>
    <x v="0"/>
    <n v="0"/>
  </r>
  <r>
    <n v="1"/>
    <n v="22"/>
    <n v="2"/>
    <x v="0"/>
    <x v="0"/>
    <s v="filler"/>
    <s v="Stim6_Set4"/>
    <m/>
    <m/>
    <x v="0"/>
    <n v="0"/>
    <x v="1"/>
    <n v="0"/>
  </r>
  <r>
    <n v="1"/>
    <n v="23"/>
    <n v="2"/>
    <x v="0"/>
    <x v="0"/>
    <s v="filler"/>
    <s v="Stim2_Set4"/>
    <m/>
    <s v="yes"/>
    <x v="1"/>
    <n v="0"/>
    <x v="0"/>
    <n v="1"/>
  </r>
  <r>
    <n v="1"/>
    <n v="24"/>
    <n v="1"/>
    <x v="1"/>
    <x v="0"/>
    <s v="filler"/>
    <s v="Stim8_Set4"/>
    <m/>
    <s v="yes"/>
    <x v="0"/>
    <n v="0"/>
    <x v="0"/>
    <n v="1"/>
  </r>
  <r>
    <n v="1"/>
    <n v="25"/>
    <n v="1"/>
    <x v="1"/>
    <x v="1"/>
    <s v="nontarget"/>
    <s v="Stim8_Set1"/>
    <m/>
    <s v="yes"/>
    <x v="1"/>
    <n v="1"/>
    <x v="0"/>
    <n v="1"/>
  </r>
  <r>
    <n v="1"/>
    <n v="26"/>
    <n v="2"/>
    <x v="0"/>
    <x v="2"/>
    <s v="switch"/>
    <s v="Stim8_Set1"/>
    <m/>
    <s v="no"/>
    <x v="0"/>
    <n v="0"/>
    <x v="0"/>
    <n v="0"/>
  </r>
  <r>
    <n v="2"/>
    <n v="27"/>
    <n v="2"/>
    <x v="0"/>
    <x v="0"/>
    <s v="filler"/>
    <s v="Stim1_Set1"/>
    <m/>
    <m/>
    <x v="1"/>
    <n v="0"/>
    <x v="1"/>
    <n v="0"/>
  </r>
  <r>
    <n v="2"/>
    <n v="28"/>
    <n v="1"/>
    <x v="1"/>
    <x v="1"/>
    <s v="nontarget"/>
    <s v="Stim1_Set2"/>
    <m/>
    <s v="yes"/>
    <x v="0"/>
    <n v="1"/>
    <x v="0"/>
    <n v="1"/>
  </r>
  <r>
    <n v="2"/>
    <n v="29"/>
    <n v="1"/>
    <x v="1"/>
    <x v="2"/>
    <s v="repeat"/>
    <s v="Stim1_Set2"/>
    <m/>
    <s v="no"/>
    <x v="1"/>
    <n v="0"/>
    <x v="0"/>
    <n v="0"/>
  </r>
  <r>
    <n v="2"/>
    <n v="30"/>
    <n v="2"/>
    <x v="0"/>
    <x v="0"/>
    <s v="filler"/>
    <s v="Stim2_Set1"/>
    <m/>
    <m/>
    <x v="0"/>
    <n v="0"/>
    <x v="1"/>
    <n v="0"/>
  </r>
  <r>
    <n v="2"/>
    <n v="31"/>
    <n v="1"/>
    <x v="1"/>
    <x v="1"/>
    <s v="nontarget"/>
    <s v="Stim2_Set2"/>
    <m/>
    <s v="yes"/>
    <x v="0"/>
    <n v="1"/>
    <x v="0"/>
    <n v="1"/>
  </r>
  <r>
    <n v="2"/>
    <n v="32"/>
    <n v="1"/>
    <x v="1"/>
    <x v="2"/>
    <s v="repeat"/>
    <s v="Stim2_Set2"/>
    <m/>
    <s v="no"/>
    <x v="1"/>
    <n v="0"/>
    <x v="0"/>
    <n v="0"/>
  </r>
  <r>
    <n v="2"/>
    <n v="33"/>
    <n v="2"/>
    <x v="0"/>
    <x v="0"/>
    <s v="filler"/>
    <s v="Stim4_Set1"/>
    <m/>
    <m/>
    <x v="0"/>
    <n v="0"/>
    <x v="1"/>
    <n v="0"/>
  </r>
  <r>
    <n v="2"/>
    <n v="34"/>
    <n v="2"/>
    <x v="0"/>
    <x v="0"/>
    <s v="filler"/>
    <s v="Stim3_Set1"/>
    <m/>
    <s v="yes"/>
    <x v="1"/>
    <n v="0"/>
    <x v="0"/>
    <n v="1"/>
  </r>
  <r>
    <n v="2"/>
    <n v="35"/>
    <n v="1"/>
    <x v="1"/>
    <x v="1"/>
    <s v="nontarget"/>
    <s v="Stim3_Set2"/>
    <m/>
    <s v="yes"/>
    <x v="0"/>
    <n v="1"/>
    <x v="0"/>
    <n v="1"/>
  </r>
  <r>
    <n v="2"/>
    <n v="36"/>
    <n v="2"/>
    <x v="0"/>
    <x v="2"/>
    <s v="switch"/>
    <s v="Stim3_Set2"/>
    <m/>
    <s v="no"/>
    <x v="0"/>
    <n v="0"/>
    <x v="0"/>
    <n v="0"/>
  </r>
  <r>
    <n v="2"/>
    <n v="37"/>
    <n v="2"/>
    <x v="0"/>
    <x v="1"/>
    <s v="nontarget"/>
    <s v="Stim4_Set2"/>
    <m/>
    <s v="yes"/>
    <x v="1"/>
    <n v="1"/>
    <x v="1"/>
    <n v="0"/>
  </r>
  <r>
    <n v="2"/>
    <n v="38"/>
    <n v="1"/>
    <x v="1"/>
    <x v="2"/>
    <s v="switch"/>
    <s v="Stim4_Set2"/>
    <m/>
    <s v="no"/>
    <x v="0"/>
    <n v="0"/>
    <x v="0"/>
    <n v="0"/>
  </r>
  <r>
    <n v="2"/>
    <n v="39"/>
    <n v="1"/>
    <x v="1"/>
    <x v="0"/>
    <s v="filler"/>
    <s v="Stim3_Set1"/>
    <m/>
    <m/>
    <x v="1"/>
    <n v="0"/>
    <x v="1"/>
    <n v="0"/>
  </r>
  <r>
    <n v="2"/>
    <n v="40"/>
    <n v="1"/>
    <x v="1"/>
    <x v="1"/>
    <s v="nontarget"/>
    <s v="Stim5_Set2"/>
    <m/>
    <s v="yes"/>
    <x v="1"/>
    <n v="1"/>
    <x v="0"/>
    <n v="1"/>
  </r>
  <r>
    <n v="2"/>
    <n v="41"/>
    <n v="2"/>
    <x v="0"/>
    <x v="2"/>
    <s v="switch"/>
    <s v="Stim5_Set2"/>
    <m/>
    <s v="no"/>
    <x v="0"/>
    <n v="0"/>
    <x v="0"/>
    <n v="0"/>
  </r>
  <r>
    <n v="2"/>
    <n v="42"/>
    <n v="1"/>
    <x v="1"/>
    <x v="0"/>
    <s v="filler"/>
    <s v="Stim7_Set1"/>
    <m/>
    <m/>
    <x v="0"/>
    <n v="0"/>
    <x v="1"/>
    <n v="0"/>
  </r>
  <r>
    <n v="2"/>
    <n v="43"/>
    <n v="2"/>
    <x v="0"/>
    <x v="0"/>
    <s v="filler"/>
    <s v="Stim5_Set1"/>
    <m/>
    <s v="yes"/>
    <x v="0"/>
    <n v="0"/>
    <x v="0"/>
    <n v="1"/>
  </r>
  <r>
    <n v="2"/>
    <n v="44"/>
    <n v="2"/>
    <x v="0"/>
    <x v="1"/>
    <s v="nontarget"/>
    <s v="Stim6_Set2"/>
    <m/>
    <s v="yes"/>
    <x v="1"/>
    <n v="1"/>
    <x v="0"/>
    <n v="1"/>
  </r>
  <r>
    <n v="2"/>
    <n v="45"/>
    <n v="2"/>
    <x v="0"/>
    <x v="2"/>
    <s v="repeat"/>
    <s v="Stim6_Set2"/>
    <m/>
    <s v="no"/>
    <x v="1"/>
    <n v="0"/>
    <x v="0"/>
    <n v="0"/>
  </r>
  <r>
    <n v="2"/>
    <n v="46"/>
    <n v="1"/>
    <x v="1"/>
    <x v="0"/>
    <s v="filler"/>
    <s v="Stim6_Set1"/>
    <m/>
    <m/>
    <x v="0"/>
    <n v="0"/>
    <x v="1"/>
    <n v="0"/>
  </r>
  <r>
    <n v="2"/>
    <n v="47"/>
    <n v="2"/>
    <x v="0"/>
    <x v="1"/>
    <s v="nontarget"/>
    <s v="Stim7_Set2"/>
    <m/>
    <s v="yes"/>
    <x v="0"/>
    <n v="1"/>
    <x v="0"/>
    <n v="1"/>
  </r>
  <r>
    <n v="2"/>
    <n v="48"/>
    <n v="2"/>
    <x v="0"/>
    <x v="2"/>
    <s v="repeat"/>
    <s v="Stim7_Set2"/>
    <m/>
    <s v="no"/>
    <x v="1"/>
    <n v="0"/>
    <x v="0"/>
    <n v="0"/>
  </r>
  <r>
    <n v="2"/>
    <n v="49"/>
    <n v="1"/>
    <x v="1"/>
    <x v="0"/>
    <s v="filler"/>
    <m/>
    <s v="here"/>
    <m/>
    <x v="0"/>
    <n v="0"/>
    <x v="1"/>
    <n v="0"/>
  </r>
  <r>
    <n v="2"/>
    <m/>
    <n v="1"/>
    <x v="1"/>
    <x v="0"/>
    <s v="filler"/>
    <s v="Stim5_Set1"/>
    <m/>
    <s v="yes"/>
    <x v="1"/>
    <n v="1"/>
    <x v="0"/>
    <n v="1"/>
  </r>
  <r>
    <n v="2"/>
    <n v="50"/>
    <n v="2"/>
    <x v="0"/>
    <x v="0"/>
    <s v="filler"/>
    <s v="Stim8_Set1"/>
    <m/>
    <s v="yes"/>
    <x v="0"/>
    <n v="0"/>
    <x v="0"/>
    <n v="1"/>
  </r>
  <r>
    <n v="2"/>
    <n v="51"/>
    <n v="2"/>
    <x v="0"/>
    <x v="1"/>
    <s v="nontarget"/>
    <s v="Stim8_Set2"/>
    <m/>
    <s v="yes"/>
    <x v="1"/>
    <n v="1"/>
    <x v="0"/>
    <n v="1"/>
  </r>
  <r>
    <n v="2"/>
    <n v="52"/>
    <n v="1"/>
    <x v="1"/>
    <x v="2"/>
    <s v="switch"/>
    <s v="Stim8_Set2"/>
    <m/>
    <s v="no"/>
    <x v="0"/>
    <n v="0"/>
    <x v="0"/>
    <n v="0"/>
  </r>
  <r>
    <n v="3"/>
    <n v="53"/>
    <n v="1"/>
    <x v="1"/>
    <x v="1"/>
    <s v="nontarget"/>
    <s v="Stim1_Set3"/>
    <m/>
    <s v="yes"/>
    <x v="1"/>
    <n v="1"/>
    <x v="1"/>
    <n v="0"/>
  </r>
  <r>
    <n v="3"/>
    <n v="54"/>
    <n v="2"/>
    <x v="0"/>
    <x v="2"/>
    <s v="switch"/>
    <s v="Stim1_Set3"/>
    <m/>
    <s v="no"/>
    <x v="0"/>
    <n v="0"/>
    <x v="0"/>
    <n v="0"/>
  </r>
  <r>
    <n v="3"/>
    <n v="55"/>
    <n v="2"/>
    <x v="0"/>
    <x v="0"/>
    <s v="filler"/>
    <m/>
    <s v="here"/>
    <m/>
    <x v="1"/>
    <n v="0"/>
    <x v="1"/>
    <n v="0"/>
  </r>
  <r>
    <n v="3"/>
    <n v="56"/>
    <n v="2"/>
    <x v="0"/>
    <x v="1"/>
    <s v="nontarget"/>
    <s v="Stim2_Set3"/>
    <m/>
    <s v="yes"/>
    <x v="1"/>
    <n v="1"/>
    <x v="0"/>
    <n v="1"/>
  </r>
  <r>
    <n v="3"/>
    <n v="57"/>
    <n v="1"/>
    <x v="1"/>
    <x v="2"/>
    <s v="switch"/>
    <s v="Stim2_Set3"/>
    <m/>
    <s v="no"/>
    <x v="0"/>
    <n v="0"/>
    <x v="0"/>
    <n v="0"/>
  </r>
  <r>
    <n v="3"/>
    <n v="58"/>
    <n v="1"/>
    <x v="1"/>
    <x v="0"/>
    <s v="filler"/>
    <s v="Stim1_Set2"/>
    <m/>
    <m/>
    <x v="1"/>
    <n v="0"/>
    <x v="1"/>
    <n v="0"/>
  </r>
  <r>
    <n v="3"/>
    <n v="59"/>
    <n v="1"/>
    <x v="1"/>
    <x v="1"/>
    <s v="nontarget"/>
    <s v="Stim3_Set3"/>
    <m/>
    <s v="yes"/>
    <x v="1"/>
    <n v="1"/>
    <x v="0"/>
    <n v="1"/>
  </r>
  <r>
    <n v="3"/>
    <n v="60"/>
    <n v="2"/>
    <x v="0"/>
    <x v="2"/>
    <s v="switch"/>
    <s v="Stim3_Set3"/>
    <m/>
    <s v="no"/>
    <x v="0"/>
    <n v="0"/>
    <x v="0"/>
    <n v="0"/>
  </r>
  <r>
    <n v="3"/>
    <n v="61"/>
    <n v="2"/>
    <x v="0"/>
    <x v="0"/>
    <s v="filler"/>
    <s v="Stim2_Set2"/>
    <m/>
    <m/>
    <x v="1"/>
    <n v="0"/>
    <x v="1"/>
    <n v="0"/>
  </r>
  <r>
    <n v="3"/>
    <n v="62"/>
    <n v="1"/>
    <x v="1"/>
    <x v="0"/>
    <s v="filler"/>
    <s v="Stim4_Set2"/>
    <m/>
    <s v="yes"/>
    <x v="0"/>
    <n v="0"/>
    <x v="0"/>
    <n v="1"/>
  </r>
  <r>
    <n v="3"/>
    <n v="63"/>
    <n v="2"/>
    <x v="0"/>
    <x v="1"/>
    <s v="nontarget"/>
    <s v="Stim4_Set3"/>
    <m/>
    <s v="yes"/>
    <x v="0"/>
    <n v="1"/>
    <x v="0"/>
    <n v="1"/>
  </r>
  <r>
    <n v="3"/>
    <n v="64"/>
    <n v="2"/>
    <x v="0"/>
    <x v="2"/>
    <s v="repeat"/>
    <s v="Stim4_Set3"/>
    <m/>
    <s v="no"/>
    <x v="1"/>
    <n v="0"/>
    <x v="0"/>
    <n v="0"/>
  </r>
  <r>
    <n v="3"/>
    <n v="65"/>
    <n v="1"/>
    <x v="1"/>
    <x v="0"/>
    <s v="filler"/>
    <s v="Stim3_Set2"/>
    <m/>
    <m/>
    <x v="0"/>
    <n v="0"/>
    <x v="1"/>
    <n v="0"/>
  </r>
  <r>
    <n v="3"/>
    <n v="66"/>
    <n v="2"/>
    <x v="0"/>
    <x v="0"/>
    <s v="filler"/>
    <s v="Stim5_Set2"/>
    <m/>
    <s v="yes"/>
    <x v="0"/>
    <n v="0"/>
    <x v="0"/>
    <n v="1"/>
  </r>
  <r>
    <n v="3"/>
    <n v="67"/>
    <n v="2"/>
    <x v="0"/>
    <x v="1"/>
    <s v="nontarget"/>
    <s v="Stim5_Set3"/>
    <m/>
    <s v="yes"/>
    <x v="1"/>
    <n v="1"/>
    <x v="0"/>
    <n v="1"/>
  </r>
  <r>
    <n v="3"/>
    <n v="68"/>
    <n v="2"/>
    <x v="0"/>
    <x v="2"/>
    <s v="repeat"/>
    <s v="Stim5_Set3"/>
    <m/>
    <s v="no"/>
    <x v="1"/>
    <n v="0"/>
    <x v="0"/>
    <n v="0"/>
  </r>
  <r>
    <n v="3"/>
    <n v="69"/>
    <n v="1"/>
    <x v="1"/>
    <x v="0"/>
    <s v="filler"/>
    <m/>
    <s v="here"/>
    <m/>
    <x v="0"/>
    <n v="0"/>
    <x v="1"/>
    <n v="0"/>
  </r>
  <r>
    <n v="3"/>
    <m/>
    <n v="1"/>
    <x v="1"/>
    <x v="0"/>
    <s v="filler"/>
    <s v="Stim2_Set2"/>
    <m/>
    <s v="yes"/>
    <x v="1"/>
    <n v="0"/>
    <x v="0"/>
    <n v="1"/>
  </r>
  <r>
    <n v="3"/>
    <n v="70"/>
    <n v="2"/>
    <x v="0"/>
    <x v="1"/>
    <s v="nontarget"/>
    <s v="Stim6_Set3"/>
    <m/>
    <s v="yes"/>
    <x v="0"/>
    <n v="1"/>
    <x v="0"/>
    <n v="1"/>
  </r>
  <r>
    <n v="3"/>
    <n v="71"/>
    <n v="1"/>
    <x v="1"/>
    <x v="2"/>
    <s v="switch"/>
    <s v="Stim6_Set3"/>
    <m/>
    <s v="no"/>
    <x v="0"/>
    <n v="0"/>
    <x v="0"/>
    <n v="0"/>
  </r>
  <r>
    <n v="3"/>
    <n v="72"/>
    <n v="2"/>
    <x v="0"/>
    <x v="0"/>
    <s v="filler"/>
    <s v="Stim6_Set2"/>
    <m/>
    <m/>
    <x v="0"/>
    <n v="0"/>
    <x v="1"/>
    <n v="0"/>
  </r>
  <r>
    <n v="3"/>
    <n v="73"/>
    <n v="1"/>
    <x v="1"/>
    <x v="1"/>
    <s v="nontarget"/>
    <s v="Stim7_Set3"/>
    <m/>
    <s v="yes"/>
    <x v="0"/>
    <n v="1"/>
    <x v="0"/>
    <n v="1"/>
  </r>
  <r>
    <n v="3"/>
    <n v="74"/>
    <n v="1"/>
    <x v="1"/>
    <x v="2"/>
    <s v="repeat"/>
    <s v="Stim7_Set3"/>
    <m/>
    <s v="no"/>
    <x v="1"/>
    <n v="0"/>
    <x v="0"/>
    <n v="0"/>
  </r>
  <r>
    <n v="3"/>
    <n v="75"/>
    <n v="2"/>
    <x v="0"/>
    <x v="0"/>
    <s v="filler"/>
    <s v="Stim7_Set2"/>
    <m/>
    <m/>
    <x v="0"/>
    <n v="0"/>
    <x v="1"/>
    <n v="0"/>
  </r>
  <r>
    <n v="3"/>
    <n v="76"/>
    <n v="1"/>
    <x v="1"/>
    <x v="0"/>
    <s v="filler"/>
    <s v="Stim8_Set2"/>
    <m/>
    <m/>
    <x v="0"/>
    <n v="0"/>
    <x v="0"/>
    <n v="1"/>
  </r>
  <r>
    <n v="3"/>
    <n v="77"/>
    <n v="1"/>
    <x v="1"/>
    <x v="1"/>
    <s v="nontarget"/>
    <s v="Stim8_Set3"/>
    <m/>
    <s v="yes"/>
    <x v="1"/>
    <n v="1"/>
    <x v="0"/>
    <n v="1"/>
  </r>
  <r>
    <n v="3"/>
    <n v="78"/>
    <n v="1"/>
    <x v="1"/>
    <x v="2"/>
    <s v="repeat"/>
    <s v="Stim8_Set3"/>
    <m/>
    <s v="no"/>
    <x v="1"/>
    <n v="0"/>
    <x v="0"/>
    <n v="0"/>
  </r>
  <r>
    <n v="4"/>
    <n v="79"/>
    <n v="2"/>
    <x v="0"/>
    <x v="0"/>
    <s v="filler"/>
    <s v="Stim1_Set3"/>
    <m/>
    <m/>
    <x v="0"/>
    <n v="0"/>
    <x v="1"/>
    <n v="0"/>
  </r>
  <r>
    <n v="4"/>
    <n v="80"/>
    <n v="1"/>
    <x v="1"/>
    <x v="1"/>
    <s v="nontarget"/>
    <s v="Stim1_Set4"/>
    <m/>
    <s v="yes"/>
    <x v="0"/>
    <n v="1"/>
    <x v="0"/>
    <n v="1"/>
  </r>
  <r>
    <n v="4"/>
    <n v="81"/>
    <n v="1"/>
    <x v="1"/>
    <x v="2"/>
    <s v="repeat"/>
    <s v="Stim1_Set4"/>
    <m/>
    <s v="no"/>
    <x v="1"/>
    <n v="0"/>
    <x v="0"/>
    <n v="0"/>
  </r>
  <r>
    <n v="4"/>
    <n v="82"/>
    <n v="1"/>
    <x v="1"/>
    <x v="1"/>
    <s v="nontarget"/>
    <s v="Stim2_Set4"/>
    <m/>
    <s v="yes"/>
    <x v="1"/>
    <n v="1"/>
    <x v="1"/>
    <n v="0"/>
  </r>
  <r>
    <n v="4"/>
    <n v="83"/>
    <n v="2"/>
    <x v="0"/>
    <x v="2"/>
    <s v="switch"/>
    <s v="Stim2_Set4"/>
    <m/>
    <s v="no"/>
    <x v="0"/>
    <n v="0"/>
    <x v="0"/>
    <n v="0"/>
  </r>
  <r>
    <n v="4"/>
    <n v="84"/>
    <n v="2"/>
    <x v="0"/>
    <x v="0"/>
    <s v="filler"/>
    <s v="Stim3_Set3"/>
    <m/>
    <m/>
    <x v="1"/>
    <n v="0"/>
    <x v="1"/>
    <n v="0"/>
  </r>
  <r>
    <n v="4"/>
    <n v="85"/>
    <n v="1"/>
    <x v="1"/>
    <x v="0"/>
    <s v="filler"/>
    <s v="Stim2_Set3"/>
    <m/>
    <s v="yes"/>
    <x v="0"/>
    <n v="0"/>
    <x v="0"/>
    <n v="1"/>
  </r>
  <r>
    <n v="4"/>
    <n v="86"/>
    <n v="2"/>
    <x v="0"/>
    <x v="1"/>
    <s v="nontarget"/>
    <s v="Stim3_Set4"/>
    <m/>
    <s v="yes"/>
    <x v="0"/>
    <n v="1"/>
    <x v="0"/>
    <n v="1"/>
  </r>
  <r>
    <n v="4"/>
    <n v="87"/>
    <n v="2"/>
    <x v="0"/>
    <x v="2"/>
    <s v="repeat"/>
    <s v="Stim3_Set4"/>
    <m/>
    <s v="no"/>
    <x v="1"/>
    <n v="0"/>
    <x v="0"/>
    <n v="0"/>
  </r>
  <r>
    <n v="4"/>
    <n v="88"/>
    <n v="2"/>
    <x v="0"/>
    <x v="1"/>
    <s v="nontarget"/>
    <s v="Stim4_Set4"/>
    <m/>
    <s v="yes"/>
    <x v="1"/>
    <n v="1"/>
    <x v="1"/>
    <n v="0"/>
  </r>
  <r>
    <n v="4"/>
    <n v="89"/>
    <n v="1"/>
    <x v="1"/>
    <x v="2"/>
    <s v="switch"/>
    <s v="Stim4_Set4"/>
    <m/>
    <s v="no"/>
    <x v="0"/>
    <n v="0"/>
    <x v="0"/>
    <n v="0"/>
  </r>
  <r>
    <n v="4"/>
    <n v="90"/>
    <n v="2"/>
    <x v="0"/>
    <x v="0"/>
    <s v="filler"/>
    <s v="Stim4_Set3"/>
    <m/>
    <m/>
    <x v="0"/>
    <n v="0"/>
    <x v="1"/>
    <n v="0"/>
  </r>
  <r>
    <n v="4"/>
    <m/>
    <n v="2"/>
    <x v="0"/>
    <x v="0"/>
    <s v="filler"/>
    <s v="Stim6_Set3"/>
    <m/>
    <s v="yes"/>
    <x v="1"/>
    <n v="0"/>
    <x v="0"/>
    <n v="1"/>
  </r>
  <r>
    <n v="4"/>
    <n v="91"/>
    <n v="1"/>
    <x v="1"/>
    <x v="0"/>
    <s v="filler"/>
    <s v="Stim5_Set3"/>
    <m/>
    <m/>
    <x v="0"/>
    <n v="0"/>
    <x v="0"/>
    <n v="1"/>
  </r>
  <r>
    <n v="4"/>
    <n v="92"/>
    <n v="1"/>
    <x v="1"/>
    <x v="1"/>
    <s v="nontarget"/>
    <s v="Stim5_Set4"/>
    <m/>
    <s v="yes"/>
    <x v="1"/>
    <n v="1"/>
    <x v="0"/>
    <n v="1"/>
  </r>
  <r>
    <n v="4"/>
    <n v="93"/>
    <n v="2"/>
    <x v="0"/>
    <x v="2"/>
    <s v="switch"/>
    <s v="Stim5_Set4"/>
    <m/>
    <s v="no"/>
    <x v="0"/>
    <n v="0"/>
    <x v="0"/>
    <n v="0"/>
  </r>
  <r>
    <n v="4"/>
    <n v="94"/>
    <n v="2"/>
    <x v="0"/>
    <x v="1"/>
    <s v="nontarget"/>
    <s v="Stim6_Set4"/>
    <m/>
    <s v="yes"/>
    <x v="1"/>
    <n v="1"/>
    <x v="1"/>
    <n v="0"/>
  </r>
  <r>
    <n v="4"/>
    <n v="95"/>
    <n v="2"/>
    <x v="0"/>
    <x v="2"/>
    <s v="repeat"/>
    <s v="Stim6_Set4"/>
    <m/>
    <s v="no"/>
    <x v="1"/>
    <n v="0"/>
    <x v="0"/>
    <n v="0"/>
  </r>
  <r>
    <n v="4"/>
    <n v="96"/>
    <n v="1"/>
    <x v="1"/>
    <x v="0"/>
    <s v="filler"/>
    <m/>
    <s v="here"/>
    <m/>
    <x v="0"/>
    <n v="0"/>
    <x v="1"/>
    <n v="0"/>
  </r>
  <r>
    <n v="4"/>
    <n v="97"/>
    <n v="2"/>
    <x v="0"/>
    <x v="0"/>
    <s v="filler"/>
    <s v="Stim7_Set3"/>
    <m/>
    <s v="yes"/>
    <x v="0"/>
    <n v="0"/>
    <x v="0"/>
    <n v="1"/>
  </r>
  <r>
    <n v="4"/>
    <n v="98"/>
    <n v="2"/>
    <x v="0"/>
    <x v="1"/>
    <s v="nontarget"/>
    <s v="Stim7_Set4"/>
    <m/>
    <s v="yes"/>
    <x v="1"/>
    <n v="1"/>
    <x v="0"/>
    <n v="1"/>
  </r>
  <r>
    <n v="4"/>
    <n v="99"/>
    <n v="1"/>
    <x v="1"/>
    <x v="2"/>
    <s v="switch"/>
    <s v="Stim7_Set4"/>
    <m/>
    <s v="no"/>
    <x v="0"/>
    <n v="0"/>
    <x v="0"/>
    <n v="0"/>
  </r>
  <r>
    <n v="4"/>
    <n v="100"/>
    <n v="1"/>
    <x v="1"/>
    <x v="1"/>
    <s v="nontarget"/>
    <s v="Stim8_Set4"/>
    <m/>
    <s v="yes"/>
    <x v="1"/>
    <n v="1"/>
    <x v="1"/>
    <n v="0"/>
  </r>
  <r>
    <n v="4"/>
    <n v="101"/>
    <n v="1"/>
    <x v="1"/>
    <x v="2"/>
    <s v="repeat"/>
    <s v="Stim8_Set4"/>
    <m/>
    <s v="no"/>
    <x v="1"/>
    <n v="0"/>
    <x v="0"/>
    <n v="0"/>
  </r>
  <r>
    <n v="4"/>
    <n v="102"/>
    <n v="1"/>
    <x v="0"/>
    <x v="0"/>
    <s v="filler"/>
    <s v="Stim8_Set3"/>
    <m/>
    <m/>
    <x v="0"/>
    <n v="0"/>
    <x v="1"/>
    <n v="0"/>
  </r>
  <r>
    <n v="4"/>
    <n v="103"/>
    <n v="1"/>
    <x v="1"/>
    <x v="0"/>
    <s v="filler"/>
    <s v="Stim6_Set3"/>
    <m/>
    <m/>
    <x v="0"/>
    <n v="0"/>
    <x v="0"/>
    <n v="1"/>
  </r>
  <r>
    <s v="BREAK"/>
    <n v="104"/>
    <m/>
    <x v="2"/>
    <x v="3"/>
    <m/>
    <m/>
    <m/>
    <s v="no"/>
    <x v="0"/>
    <n v="0"/>
    <x v="0"/>
    <n v="1"/>
  </r>
  <r>
    <n v="1"/>
    <n v="105"/>
    <n v="2"/>
    <x v="0"/>
    <x v="1"/>
    <s v="nontarget"/>
    <s v="Stim4_Set1"/>
    <m/>
    <s v="yes"/>
    <x v="0"/>
    <n v="1"/>
    <x v="0"/>
    <n v="0"/>
  </r>
  <r>
    <n v="1"/>
    <n v="106"/>
    <n v="2"/>
    <x v="0"/>
    <x v="2"/>
    <s v="repeat"/>
    <s v="Stim4_Set1"/>
    <m/>
    <s v="no"/>
    <x v="1"/>
    <n v="0"/>
    <x v="0"/>
    <n v="0"/>
  </r>
  <r>
    <n v="1"/>
    <n v="107"/>
    <n v="1"/>
    <x v="1"/>
    <x v="0"/>
    <s v="filler"/>
    <s v="Stim3_Set4"/>
    <m/>
    <m/>
    <x v="0"/>
    <n v="0"/>
    <x v="1"/>
    <n v="0"/>
  </r>
  <r>
    <n v="1"/>
    <n v="108"/>
    <n v="2"/>
    <x v="0"/>
    <x v="1"/>
    <s v="nontarget"/>
    <s v="Stim3_Set1"/>
    <m/>
    <s v="yes"/>
    <x v="0"/>
    <n v="1"/>
    <x v="0"/>
    <n v="1"/>
  </r>
  <r>
    <n v="1"/>
    <n v="109"/>
    <n v="2"/>
    <x v="0"/>
    <x v="2"/>
    <s v="repeat"/>
    <s v="Stim3_Set1"/>
    <m/>
    <s v="no"/>
    <x v="1"/>
    <n v="0"/>
    <x v="0"/>
    <n v="0"/>
  </r>
  <r>
    <n v="1"/>
    <n v="110"/>
    <n v="1"/>
    <x v="1"/>
    <x v="0"/>
    <s v="filler"/>
    <m/>
    <s v="here"/>
    <m/>
    <x v="0"/>
    <n v="0"/>
    <x v="1"/>
    <n v="0"/>
  </r>
  <r>
    <n v="1"/>
    <n v="111"/>
    <n v="2"/>
    <x v="0"/>
    <x v="0"/>
    <s v="filler"/>
    <s v="Stim8_Set4"/>
    <m/>
    <s v="yes"/>
    <x v="0"/>
    <n v="0"/>
    <x v="0"/>
    <n v="1"/>
  </r>
  <r>
    <n v="1"/>
    <n v="112"/>
    <n v="2"/>
    <x v="0"/>
    <x v="1"/>
    <s v="nontarget"/>
    <s v="Stim6_Set1"/>
    <m/>
    <s v="yes"/>
    <x v="1"/>
    <n v="1"/>
    <x v="0"/>
    <n v="1"/>
  </r>
  <r>
    <n v="1"/>
    <n v="113"/>
    <n v="1"/>
    <x v="1"/>
    <x v="2"/>
    <s v="switch"/>
    <s v="Stim6_Set1"/>
    <m/>
    <s v="no"/>
    <x v="0"/>
    <n v="0"/>
    <x v="0"/>
    <n v="0"/>
  </r>
  <r>
    <n v="1"/>
    <n v="114"/>
    <n v="1"/>
    <x v="1"/>
    <x v="0"/>
    <s v="filler"/>
    <s v="Stim4_Set4"/>
    <m/>
    <m/>
    <x v="1"/>
    <n v="0"/>
    <x v="1"/>
    <n v="0"/>
  </r>
  <r>
    <n v="1"/>
    <n v="115"/>
    <n v="1"/>
    <x v="1"/>
    <x v="1"/>
    <s v="nontarget"/>
    <s v="Stim2_Set1"/>
    <m/>
    <s v="yes"/>
    <x v="1"/>
    <n v="1"/>
    <x v="0"/>
    <n v="1"/>
  </r>
  <r>
    <n v="1"/>
    <n v="116"/>
    <n v="2"/>
    <x v="0"/>
    <x v="2"/>
    <s v="switch"/>
    <s v="Stim2_Set1"/>
    <m/>
    <s v="no"/>
    <x v="0"/>
    <n v="0"/>
    <x v="0"/>
    <n v="0"/>
  </r>
  <r>
    <n v="1"/>
    <n v="117"/>
    <n v="2"/>
    <x v="0"/>
    <x v="1"/>
    <s v="nontarget"/>
    <s v="Stim1_Set1"/>
    <m/>
    <s v="yes"/>
    <x v="1"/>
    <n v="1"/>
    <x v="1"/>
    <n v="0"/>
  </r>
  <r>
    <n v="1"/>
    <n v="118"/>
    <n v="1"/>
    <x v="1"/>
    <x v="2"/>
    <s v="switch"/>
    <s v="Stim1_Set1"/>
    <m/>
    <s v="no"/>
    <x v="0"/>
    <n v="0"/>
    <x v="0"/>
    <n v="0"/>
  </r>
  <r>
    <n v="1"/>
    <n v="119"/>
    <n v="2"/>
    <x v="0"/>
    <x v="0"/>
    <s v="filler"/>
    <s v="Stim2_Set4"/>
    <m/>
    <m/>
    <x v="0"/>
    <n v="0"/>
    <x v="1"/>
    <n v="0"/>
  </r>
  <r>
    <n v="1"/>
    <n v="120"/>
    <n v="1"/>
    <x v="1"/>
    <x v="1"/>
    <s v="nontarget"/>
    <s v="Stim8_Set1"/>
    <m/>
    <s v="yes"/>
    <x v="0"/>
    <n v="1"/>
    <x v="0"/>
    <n v="1"/>
  </r>
  <r>
    <n v="1"/>
    <n v="121"/>
    <n v="1"/>
    <x v="1"/>
    <x v="2"/>
    <s v="repeat"/>
    <s v="Stim8_Set1"/>
    <m/>
    <s v="no"/>
    <x v="1"/>
    <n v="0"/>
    <x v="0"/>
    <n v="0"/>
  </r>
  <r>
    <n v="1"/>
    <n v="122"/>
    <n v="2"/>
    <x v="0"/>
    <x v="0"/>
    <s v="filler"/>
    <s v="Stim7_Set4"/>
    <m/>
    <m/>
    <x v="0"/>
    <n v="0"/>
    <x v="1"/>
    <n v="0"/>
  </r>
  <r>
    <n v="1"/>
    <n v="123"/>
    <n v="1"/>
    <x v="1"/>
    <x v="1"/>
    <s v="nontarget"/>
    <s v="Stim5_Set1"/>
    <m/>
    <s v="yes"/>
    <x v="0"/>
    <n v="1"/>
    <x v="0"/>
    <n v="1"/>
  </r>
  <r>
    <n v="1"/>
    <n v="124"/>
    <n v="1"/>
    <x v="1"/>
    <x v="2"/>
    <s v="repeat"/>
    <s v="Stim5_Set1"/>
    <m/>
    <s v="no"/>
    <x v="1"/>
    <n v="0"/>
    <x v="0"/>
    <n v="0"/>
  </r>
  <r>
    <n v="1"/>
    <n v="125"/>
    <n v="2"/>
    <x v="0"/>
    <x v="0"/>
    <s v="filler"/>
    <s v="Stim1_Set4"/>
    <m/>
    <m/>
    <x v="0"/>
    <n v="0"/>
    <x v="1"/>
    <n v="0"/>
  </r>
  <r>
    <n v="1"/>
    <m/>
    <n v="2"/>
    <x v="0"/>
    <x v="0"/>
    <s v="filler"/>
    <s v="Stim4_Set4"/>
    <m/>
    <s v="yes"/>
    <x v="1"/>
    <n v="0"/>
    <x v="0"/>
    <n v="1"/>
  </r>
  <r>
    <n v="1"/>
    <n v="126"/>
    <n v="1"/>
    <x v="1"/>
    <x v="0"/>
    <s v="filler"/>
    <s v="Stim6_Set4"/>
    <m/>
    <s v="yes"/>
    <x v="0"/>
    <n v="0"/>
    <x v="0"/>
    <n v="1"/>
  </r>
  <r>
    <n v="1"/>
    <n v="127"/>
    <n v="1"/>
    <x v="1"/>
    <x v="1"/>
    <s v="nontarget"/>
    <s v="Stim7_Set1"/>
    <m/>
    <s v="yes"/>
    <x v="1"/>
    <n v="1"/>
    <x v="0"/>
    <n v="1"/>
  </r>
  <r>
    <n v="1"/>
    <n v="128"/>
    <n v="2"/>
    <x v="0"/>
    <x v="2"/>
    <s v="switch"/>
    <s v="Stim7_Set1"/>
    <m/>
    <s v="no"/>
    <x v="0"/>
    <n v="0"/>
    <x v="0"/>
    <n v="0"/>
  </r>
  <r>
    <n v="1"/>
    <n v="129"/>
    <n v="1"/>
    <x v="1"/>
    <x v="0"/>
    <s v="filler"/>
    <s v="Stim5_Set4"/>
    <m/>
    <m/>
    <x v="0"/>
    <n v="0"/>
    <x v="1"/>
    <n v="0"/>
  </r>
  <r>
    <n v="1"/>
    <n v="130"/>
    <n v="1"/>
    <x v="1"/>
    <x v="0"/>
    <s v="filler"/>
    <s v="Stim3_Set4"/>
    <m/>
    <s v="yes"/>
    <x v="1"/>
    <n v="0"/>
    <x v="0"/>
    <n v="1"/>
  </r>
  <r>
    <n v="2"/>
    <n v="131"/>
    <n v="1"/>
    <x v="1"/>
    <x v="1"/>
    <s v="nontarget"/>
    <s v="Stim5_Set2"/>
    <m/>
    <s v="yes"/>
    <x v="1"/>
    <n v="1"/>
    <x v="0"/>
    <n v="1"/>
  </r>
  <r>
    <n v="2"/>
    <n v="132"/>
    <n v="1"/>
    <x v="1"/>
    <x v="2"/>
    <s v="repeat"/>
    <s v="Stim5_Set2"/>
    <m/>
    <s v="no"/>
    <x v="1"/>
    <n v="0"/>
    <x v="0"/>
    <n v="0"/>
  </r>
  <r>
    <n v="2"/>
    <n v="133"/>
    <n v="2"/>
    <x v="0"/>
    <x v="0"/>
    <s v="filler"/>
    <s v="Stim4_Set1"/>
    <m/>
    <m/>
    <x v="0"/>
    <n v="0"/>
    <x v="1"/>
    <n v="0"/>
  </r>
  <r>
    <n v="2"/>
    <n v="134"/>
    <n v="1"/>
    <x v="1"/>
    <x v="1"/>
    <s v="nontarget"/>
    <s v="Stim3_Set2"/>
    <m/>
    <s v="yes"/>
    <x v="0"/>
    <n v="1"/>
    <x v="0"/>
    <n v="1"/>
  </r>
  <r>
    <n v="2"/>
    <n v="135"/>
    <n v="1"/>
    <x v="1"/>
    <x v="2"/>
    <s v="repeat"/>
    <s v="Stim3_Set2"/>
    <m/>
    <s v="no"/>
    <x v="1"/>
    <n v="0"/>
    <x v="0"/>
    <n v="0"/>
  </r>
  <r>
    <n v="2"/>
    <n v="136"/>
    <n v="1"/>
    <x v="1"/>
    <x v="1"/>
    <s v="nontarget"/>
    <s v="Stim1_Set2"/>
    <m/>
    <s v="yes"/>
    <x v="1"/>
    <n v="1"/>
    <x v="1"/>
    <n v="0"/>
  </r>
  <r>
    <n v="2"/>
    <n v="137"/>
    <n v="2"/>
    <x v="0"/>
    <x v="2"/>
    <s v="switch"/>
    <s v="Stim1_Set2"/>
    <m/>
    <s v="no"/>
    <x v="0"/>
    <n v="0"/>
    <x v="0"/>
    <n v="0"/>
  </r>
  <r>
    <n v="2"/>
    <n v="138"/>
    <n v="2"/>
    <x v="0"/>
    <x v="0"/>
    <s v="filler"/>
    <s v="Stim3_Set1"/>
    <m/>
    <m/>
    <x v="1"/>
    <n v="0"/>
    <x v="1"/>
    <n v="0"/>
  </r>
  <r>
    <n v="2"/>
    <m/>
    <n v="2"/>
    <x v="0"/>
    <x v="0"/>
    <s v="filler"/>
    <s v="Stim8_Set1"/>
    <m/>
    <s v="yes"/>
    <x v="1"/>
    <n v="0"/>
    <x v="0"/>
    <n v="1"/>
  </r>
  <r>
    <n v="2"/>
    <n v="139"/>
    <n v="2"/>
    <x v="0"/>
    <x v="1"/>
    <s v="nontarget"/>
    <s v="Stim7_Set2"/>
    <m/>
    <s v="yes"/>
    <x v="1"/>
    <n v="1"/>
    <x v="0"/>
    <n v="1"/>
  </r>
  <r>
    <n v="2"/>
    <n v="140"/>
    <n v="1"/>
    <x v="1"/>
    <x v="2"/>
    <s v="switch"/>
    <s v="Stim7_Set2"/>
    <m/>
    <s v="no"/>
    <x v="0"/>
    <n v="0"/>
    <x v="0"/>
    <n v="0"/>
  </r>
  <r>
    <n v="2"/>
    <n v="141"/>
    <n v="2"/>
    <x v="1"/>
    <x v="0"/>
    <s v="filler"/>
    <m/>
    <s v="here"/>
    <m/>
    <x v="1"/>
    <n v="0"/>
    <x v="1"/>
    <n v="0"/>
  </r>
  <r>
    <n v="2"/>
    <n v="142"/>
    <n v="1"/>
    <x v="1"/>
    <x v="1"/>
    <s v="nontarget"/>
    <s v="Stim2_Set2"/>
    <m/>
    <s v="yes"/>
    <x v="1"/>
    <n v="1"/>
    <x v="1"/>
    <n v="0"/>
  </r>
  <r>
    <n v="2"/>
    <n v="143"/>
    <n v="2"/>
    <x v="0"/>
    <x v="2"/>
    <s v="switch"/>
    <s v="Stim2_Set2"/>
    <m/>
    <s v="no"/>
    <x v="0"/>
    <n v="0"/>
    <x v="0"/>
    <n v="0"/>
  </r>
  <r>
    <n v="2"/>
    <n v="144"/>
    <n v="1"/>
    <x v="1"/>
    <x v="0"/>
    <s v="filler"/>
    <s v="Stim6_Set1"/>
    <m/>
    <m/>
    <x v="0"/>
    <n v="0"/>
    <x v="1"/>
    <n v="0"/>
  </r>
  <r>
    <n v="2"/>
    <n v="145"/>
    <n v="2"/>
    <x v="0"/>
    <x v="0"/>
    <s v="filler"/>
    <s v="Stim2_Set1"/>
    <m/>
    <s v="yes"/>
    <x v="0"/>
    <n v="0"/>
    <x v="0"/>
    <n v="1"/>
  </r>
  <r>
    <n v="2"/>
    <n v="146"/>
    <n v="1"/>
    <x v="1"/>
    <x v="0"/>
    <s v="filler"/>
    <s v="Stim5_Set1"/>
    <m/>
    <s v="yes"/>
    <x v="0"/>
    <n v="0"/>
    <x v="0"/>
    <n v="1"/>
  </r>
  <r>
    <n v="2"/>
    <n v="147"/>
    <n v="2"/>
    <x v="0"/>
    <x v="1"/>
    <s v="nontarget"/>
    <s v="Stim4_Set2"/>
    <m/>
    <s v="yes"/>
    <x v="0"/>
    <n v="1"/>
    <x v="0"/>
    <n v="1"/>
  </r>
  <r>
    <n v="2"/>
    <n v="148"/>
    <n v="2"/>
    <x v="0"/>
    <x v="2"/>
    <s v="repeat"/>
    <s v="Stim4_Set2"/>
    <m/>
    <s v="no"/>
    <x v="1"/>
    <n v="0"/>
    <x v="0"/>
    <n v="0"/>
  </r>
  <r>
    <n v="2"/>
    <n v="149"/>
    <n v="1"/>
    <x v="1"/>
    <x v="0"/>
    <s v="filler"/>
    <s v="Stim1_Set1"/>
    <m/>
    <m/>
    <x v="0"/>
    <n v="0"/>
    <x v="1"/>
    <n v="0"/>
  </r>
  <r>
    <n v="2"/>
    <n v="150"/>
    <n v="2"/>
    <x v="0"/>
    <x v="1"/>
    <s v="nontarget"/>
    <s v="Stim8_Set2"/>
    <m/>
    <s v="yes"/>
    <x v="0"/>
    <n v="1"/>
    <x v="0"/>
    <n v="1"/>
  </r>
  <r>
    <n v="2"/>
    <n v="151"/>
    <n v="2"/>
    <x v="0"/>
    <x v="2"/>
    <s v="repeat"/>
    <s v="Stim8_Set2"/>
    <m/>
    <s v="no"/>
    <x v="1"/>
    <n v="0"/>
    <x v="0"/>
    <n v="0"/>
  </r>
  <r>
    <n v="2"/>
    <n v="152"/>
    <n v="1"/>
    <x v="1"/>
    <x v="0"/>
    <s v="filler"/>
    <s v="Stim8_Set1"/>
    <m/>
    <m/>
    <x v="0"/>
    <n v="0"/>
    <x v="1"/>
    <n v="0"/>
  </r>
  <r>
    <n v="2"/>
    <n v="153"/>
    <n v="1"/>
    <x v="1"/>
    <x v="0"/>
    <s v="filler"/>
    <s v="Stim4_Set1"/>
    <m/>
    <s v="yes"/>
    <x v="1"/>
    <n v="0"/>
    <x v="0"/>
    <n v="1"/>
  </r>
  <r>
    <n v="2"/>
    <n v="154"/>
    <n v="2"/>
    <x v="0"/>
    <x v="0"/>
    <s v="filler"/>
    <s v="Stim7_Set1"/>
    <m/>
    <s v="yes"/>
    <x v="0"/>
    <n v="0"/>
    <x v="0"/>
    <n v="1"/>
  </r>
  <r>
    <n v="2"/>
    <n v="155"/>
    <n v="2"/>
    <x v="0"/>
    <x v="1"/>
    <s v="nontarget"/>
    <s v="Stim6_Set2"/>
    <m/>
    <s v="yes"/>
    <x v="1"/>
    <n v="1"/>
    <x v="0"/>
    <n v="1"/>
  </r>
  <r>
    <n v="2"/>
    <n v="156"/>
    <n v="1"/>
    <x v="1"/>
    <x v="2"/>
    <s v="switch"/>
    <s v="Stim6_Set2"/>
    <m/>
    <s v="no"/>
    <x v="0"/>
    <n v="0"/>
    <x v="0"/>
    <n v="0"/>
  </r>
  <r>
    <n v="3"/>
    <n v="157"/>
    <n v="1"/>
    <x v="1"/>
    <x v="0"/>
    <s v="filler"/>
    <s v="Stim5_Set2"/>
    <m/>
    <m/>
    <x v="1"/>
    <n v="0"/>
    <x v="1"/>
    <n v="0"/>
  </r>
  <r>
    <n v="3"/>
    <n v="158"/>
    <n v="1"/>
    <x v="1"/>
    <x v="1"/>
    <s v="nontarget"/>
    <s v="Stim6_Set3"/>
    <m/>
    <s v="yes"/>
    <x v="1"/>
    <n v="1"/>
    <x v="0"/>
    <n v="1"/>
  </r>
  <r>
    <n v="3"/>
    <n v="159"/>
    <n v="2"/>
    <x v="0"/>
    <x v="2"/>
    <s v="switch"/>
    <s v="Stim6_Set3"/>
    <m/>
    <s v="no"/>
    <x v="0"/>
    <n v="0"/>
    <x v="0"/>
    <n v="0"/>
  </r>
  <r>
    <n v="3"/>
    <n v="160"/>
    <n v="2"/>
    <x v="0"/>
    <x v="0"/>
    <s v="filler"/>
    <s v="Stim3_Set2"/>
    <m/>
    <m/>
    <x v="1"/>
    <n v="0"/>
    <x v="1"/>
    <n v="0"/>
  </r>
  <r>
    <n v="3"/>
    <n v="161"/>
    <n v="2"/>
    <x v="0"/>
    <x v="1"/>
    <s v="nontarget"/>
    <s v="Stim4_Set3"/>
    <m/>
    <s v="yes"/>
    <x v="1"/>
    <n v="1"/>
    <x v="0"/>
    <n v="1"/>
  </r>
  <r>
    <n v="3"/>
    <n v="162"/>
    <n v="1"/>
    <x v="1"/>
    <x v="2"/>
    <s v="switch"/>
    <s v="Stim4_Set3"/>
    <m/>
    <s v="no"/>
    <x v="0"/>
    <n v="0"/>
    <x v="0"/>
    <n v="0"/>
  </r>
  <r>
    <n v="3"/>
    <n v="163"/>
    <n v="1"/>
    <x v="1"/>
    <x v="0"/>
    <s v="filler"/>
    <m/>
    <s v="here"/>
    <m/>
    <x v="1"/>
    <n v="0"/>
    <x v="1"/>
    <n v="0"/>
  </r>
  <r>
    <n v="3"/>
    <n v="164"/>
    <n v="1"/>
    <x v="1"/>
    <x v="1"/>
    <s v="nontarget"/>
    <s v="Stim8_Set3"/>
    <m/>
    <s v="yes"/>
    <x v="1"/>
    <n v="1"/>
    <x v="0"/>
    <n v="1"/>
  </r>
  <r>
    <n v="3"/>
    <n v="165"/>
    <n v="2"/>
    <x v="0"/>
    <x v="2"/>
    <s v="switch"/>
    <s v="Stim8_Set3"/>
    <m/>
    <s v="no"/>
    <x v="0"/>
    <n v="0"/>
    <x v="0"/>
    <n v="0"/>
  </r>
  <r>
    <n v="3"/>
    <n v="166"/>
    <n v="1"/>
    <x v="1"/>
    <x v="0"/>
    <s v="filler"/>
    <s v="Stim1_Set2"/>
    <m/>
    <m/>
    <x v="0"/>
    <n v="0"/>
    <x v="1"/>
    <n v="0"/>
  </r>
  <r>
    <n v="3"/>
    <m/>
    <n v="1"/>
    <x v="1"/>
    <x v="0"/>
    <s v="filler"/>
    <s v="Stim4_Set2"/>
    <m/>
    <s v="yes"/>
    <x v="1"/>
    <n v="0"/>
    <x v="0"/>
    <n v="1"/>
  </r>
  <r>
    <n v="3"/>
    <n v="167"/>
    <n v="2"/>
    <x v="0"/>
    <x v="1"/>
    <s v="nontarget"/>
    <s v="Stim7_Set3"/>
    <m/>
    <s v="yes"/>
    <x v="0"/>
    <n v="1"/>
    <x v="0"/>
    <n v="1"/>
  </r>
  <r>
    <n v="3"/>
    <n v="168"/>
    <n v="2"/>
    <x v="0"/>
    <x v="2"/>
    <s v="repeat"/>
    <s v="Stim7_Set3"/>
    <m/>
    <s v="no"/>
    <x v="1"/>
    <n v="0"/>
    <x v="0"/>
    <n v="0"/>
  </r>
  <r>
    <n v="3"/>
    <n v="169"/>
    <n v="2"/>
    <x v="0"/>
    <x v="0"/>
    <s v="filler"/>
    <s v="Stim7_Set2"/>
    <m/>
    <m/>
    <x v="1"/>
    <n v="0"/>
    <x v="1"/>
    <n v="0"/>
  </r>
  <r>
    <n v="3"/>
    <n v="170"/>
    <n v="1"/>
    <x v="1"/>
    <x v="0"/>
    <s v="filler"/>
    <s v="Stim2_Set2"/>
    <m/>
    <s v="yes"/>
    <x v="0"/>
    <n v="0"/>
    <x v="0"/>
    <n v="1"/>
  </r>
  <r>
    <n v="3"/>
    <n v="171"/>
    <n v="2"/>
    <x v="0"/>
    <x v="1"/>
    <s v="nontarget"/>
    <s v="Stim1_Set3"/>
    <m/>
    <s v="yes"/>
    <x v="0"/>
    <n v="1"/>
    <x v="0"/>
    <n v="1"/>
  </r>
  <r>
    <n v="3"/>
    <n v="172"/>
    <n v="2"/>
    <x v="0"/>
    <x v="2"/>
    <s v="repeat"/>
    <s v="Stim1_Set3"/>
    <m/>
    <s v="no"/>
    <x v="1"/>
    <n v="0"/>
    <x v="0"/>
    <n v="0"/>
  </r>
  <r>
    <n v="3"/>
    <n v="173"/>
    <n v="2"/>
    <x v="0"/>
    <x v="1"/>
    <s v="nontarget"/>
    <s v="Stim3_Set3"/>
    <m/>
    <s v="yes"/>
    <x v="1"/>
    <n v="1"/>
    <x v="1"/>
    <n v="0"/>
  </r>
  <r>
    <n v="3"/>
    <n v="174"/>
    <n v="1"/>
    <x v="1"/>
    <x v="2"/>
    <s v="switch"/>
    <s v="Stim3_Set3"/>
    <m/>
    <s v="no"/>
    <x v="0"/>
    <n v="0"/>
    <x v="0"/>
    <n v="0"/>
  </r>
  <r>
    <n v="3"/>
    <n v="175"/>
    <n v="2"/>
    <x v="0"/>
    <x v="0"/>
    <s v="filler"/>
    <s v="Stim4_Set2"/>
    <m/>
    <m/>
    <x v="0"/>
    <n v="0"/>
    <x v="1"/>
    <n v="0"/>
  </r>
  <r>
    <n v="3"/>
    <n v="176"/>
    <n v="1"/>
    <x v="1"/>
    <x v="0"/>
    <s v="filler"/>
    <m/>
    <s v="here"/>
    <s v="yes"/>
    <x v="0"/>
    <n v="0"/>
    <x v="0"/>
    <n v="1"/>
  </r>
  <r>
    <n v="3"/>
    <n v="177"/>
    <n v="1"/>
    <x v="1"/>
    <x v="1"/>
    <s v="nontarget"/>
    <s v="Stim5_Set3"/>
    <m/>
    <s v="yes"/>
    <x v="1"/>
    <n v="1"/>
    <x v="0"/>
    <n v="1"/>
  </r>
  <r>
    <n v="3"/>
    <n v="178"/>
    <n v="1"/>
    <x v="1"/>
    <x v="2"/>
    <s v="repeat"/>
    <s v="Stim5_Set3"/>
    <m/>
    <s v="no"/>
    <x v="1"/>
    <n v="0"/>
    <x v="0"/>
    <n v="0"/>
  </r>
  <r>
    <n v="3"/>
    <n v="179"/>
    <n v="2"/>
    <x v="0"/>
    <x v="0"/>
    <s v="filler"/>
    <s v="Stim8_Set2"/>
    <m/>
    <m/>
    <x v="0"/>
    <n v="0"/>
    <x v="1"/>
    <n v="0"/>
  </r>
  <r>
    <n v="3"/>
    <n v="180"/>
    <n v="1"/>
    <x v="1"/>
    <x v="1"/>
    <s v="nontarget"/>
    <s v="Stim2_Set3"/>
    <m/>
    <s v="yes"/>
    <x v="0"/>
    <n v="1"/>
    <x v="0"/>
    <n v="1"/>
  </r>
  <r>
    <n v="3"/>
    <n v="181"/>
    <n v="1"/>
    <x v="1"/>
    <x v="2"/>
    <s v="repeat"/>
    <s v="Stim2_Set3"/>
    <m/>
    <s v="no"/>
    <x v="1"/>
    <n v="0"/>
    <x v="0"/>
    <n v="0"/>
  </r>
  <r>
    <n v="3"/>
    <n v="182"/>
    <n v="1"/>
    <x v="1"/>
    <x v="0"/>
    <s v="filler"/>
    <s v="Stim6_Set2"/>
    <m/>
    <m/>
    <x v="1"/>
    <n v="0"/>
    <x v="1"/>
    <n v="0"/>
  </r>
  <r>
    <n v="4"/>
    <n v="183"/>
    <n v="2"/>
    <x v="0"/>
    <x v="0"/>
    <s v="filler"/>
    <s v="Stim6_Set3"/>
    <m/>
    <s v="yes"/>
    <x v="0"/>
    <n v="0"/>
    <x v="0"/>
    <n v="1"/>
  </r>
  <r>
    <n v="4"/>
    <n v="184"/>
    <n v="1"/>
    <x v="1"/>
    <x v="1"/>
    <s v="nontarget"/>
    <s v="Stim3_Set4"/>
    <m/>
    <s v="yes"/>
    <x v="0"/>
    <n v="1"/>
    <x v="0"/>
    <n v="1"/>
  </r>
  <r>
    <n v="4"/>
    <n v="185"/>
    <n v="1"/>
    <x v="1"/>
    <x v="2"/>
    <s v="repeat"/>
    <s v="Stim3_Set4"/>
    <m/>
    <s v="no"/>
    <x v="1"/>
    <n v="0"/>
    <x v="0"/>
    <n v="0"/>
  </r>
  <r>
    <n v="4"/>
    <n v="186"/>
    <n v="1"/>
    <x v="1"/>
    <x v="1"/>
    <s v="nontarget"/>
    <s v="Stim8_Set4"/>
    <m/>
    <s v="yes"/>
    <x v="1"/>
    <n v="1"/>
    <x v="1"/>
    <n v="0"/>
  </r>
  <r>
    <n v="4"/>
    <n v="187"/>
    <n v="2"/>
    <x v="0"/>
    <x v="2"/>
    <s v="switch"/>
    <s v="Stim8_Set4"/>
    <m/>
    <s v="no"/>
    <x v="0"/>
    <n v="0"/>
    <x v="0"/>
    <n v="0"/>
  </r>
  <r>
    <n v="4"/>
    <n v="188"/>
    <n v="1"/>
    <x v="1"/>
    <x v="0"/>
    <s v="filler"/>
    <s v="Stim4_Set3"/>
    <m/>
    <m/>
    <x v="0"/>
    <n v="0"/>
    <x v="1"/>
    <n v="0"/>
  </r>
  <r>
    <n v="4"/>
    <n v="189"/>
    <n v="2"/>
    <x v="0"/>
    <x v="1"/>
    <s v="nontarget"/>
    <s v="Stim4_Set4"/>
    <m/>
    <s v="yes"/>
    <x v="0"/>
    <n v="1"/>
    <x v="0"/>
    <n v="1"/>
  </r>
  <r>
    <n v="4"/>
    <n v="190"/>
    <n v="2"/>
    <x v="0"/>
    <x v="2"/>
    <s v="repeat"/>
    <s v="Stim4_Set4"/>
    <m/>
    <s v="no"/>
    <x v="1"/>
    <n v="0"/>
    <x v="0"/>
    <n v="0"/>
  </r>
  <r>
    <n v="4"/>
    <n v="191"/>
    <n v="2"/>
    <x v="0"/>
    <x v="1"/>
    <s v="nontarget"/>
    <s v="Stim2_Set4"/>
    <m/>
    <s v="yes"/>
    <x v="1"/>
    <n v="1"/>
    <x v="1"/>
    <n v="0"/>
  </r>
  <r>
    <n v="4"/>
    <n v="192"/>
    <n v="1"/>
    <x v="1"/>
    <x v="2"/>
    <s v="switch"/>
    <s v="Stim2_Set4"/>
    <m/>
    <s v="no"/>
    <x v="0"/>
    <n v="0"/>
    <x v="0"/>
    <n v="0"/>
  </r>
  <r>
    <n v="4"/>
    <n v="193"/>
    <n v="2"/>
    <x v="0"/>
    <x v="0"/>
    <s v="filler"/>
    <s v="Stim8_Set3"/>
    <m/>
    <m/>
    <x v="0"/>
    <n v="0"/>
    <x v="1"/>
    <n v="0"/>
  </r>
  <r>
    <n v="4"/>
    <n v="194"/>
    <n v="1"/>
    <x v="1"/>
    <x v="1"/>
    <s v="nontarget"/>
    <s v="Stim7_Set4"/>
    <m/>
    <s v="yes"/>
    <x v="0"/>
    <n v="1"/>
    <x v="0"/>
    <n v="1"/>
  </r>
  <r>
    <n v="4"/>
    <n v="195"/>
    <n v="2"/>
    <x v="0"/>
    <x v="2"/>
    <s v="switch"/>
    <s v="Stim7_Set4"/>
    <m/>
    <s v="no"/>
    <x v="0"/>
    <n v="0"/>
    <x v="0"/>
    <n v="0"/>
  </r>
  <r>
    <n v="4"/>
    <n v="196"/>
    <n v="1"/>
    <x v="1"/>
    <x v="0"/>
    <s v="filler"/>
    <s v="Stim1_Set3"/>
    <m/>
    <m/>
    <x v="0"/>
    <n v="0"/>
    <x v="1"/>
    <n v="0"/>
  </r>
  <r>
    <n v="4"/>
    <m/>
    <n v="1"/>
    <x v="1"/>
    <x v="0"/>
    <s v="filler"/>
    <s v="Stim2_Set3"/>
    <m/>
    <s v="yes"/>
    <x v="1"/>
    <n v="0"/>
    <x v="0"/>
    <n v="1"/>
  </r>
  <r>
    <n v="4"/>
    <n v="197"/>
    <n v="2"/>
    <x v="0"/>
    <x v="0"/>
    <s v="filler"/>
    <s v="Stim7_Set3"/>
    <m/>
    <s v="yes"/>
    <x v="0"/>
    <n v="0"/>
    <x v="0"/>
    <n v="1"/>
  </r>
  <r>
    <n v="4"/>
    <n v="198"/>
    <n v="2"/>
    <x v="0"/>
    <x v="1"/>
    <s v="nontarget"/>
    <s v="Stim1_Set4"/>
    <m/>
    <s v="yes"/>
    <x v="1"/>
    <n v="1"/>
    <x v="0"/>
    <n v="1"/>
  </r>
  <r>
    <n v="4"/>
    <n v="199"/>
    <n v="2"/>
    <x v="0"/>
    <x v="2"/>
    <s v="repeat"/>
    <s v="Stim1_Set4"/>
    <m/>
    <s v="no"/>
    <x v="1"/>
    <n v="0"/>
    <x v="0"/>
    <n v="0"/>
  </r>
  <r>
    <n v="4"/>
    <n v="200"/>
    <n v="1"/>
    <x v="1"/>
    <x v="0"/>
    <s v="filler"/>
    <s v="Stim3_Set3"/>
    <m/>
    <m/>
    <x v="0"/>
    <n v="0"/>
    <x v="1"/>
    <n v="0"/>
  </r>
  <r>
    <n v="4"/>
    <n v="201"/>
    <n v="2"/>
    <x v="0"/>
    <x v="0"/>
    <s v="filler"/>
    <s v="Stim5_Set3"/>
    <m/>
    <s v="yes"/>
    <x v="0"/>
    <n v="0"/>
    <x v="0"/>
    <n v="1"/>
  </r>
  <r>
    <n v="4"/>
    <n v="202"/>
    <n v="2"/>
    <x v="0"/>
    <x v="1"/>
    <s v="nontarget"/>
    <s v="Stim6_Set4"/>
    <m/>
    <s v="yes"/>
    <x v="1"/>
    <n v="1"/>
    <x v="0"/>
    <n v="1"/>
  </r>
  <r>
    <n v="4"/>
    <n v="203"/>
    <n v="1"/>
    <x v="1"/>
    <x v="2"/>
    <s v="switch"/>
    <s v="Stim6_Set4"/>
    <m/>
    <s v="no"/>
    <x v="0"/>
    <n v="0"/>
    <x v="0"/>
    <n v="0"/>
  </r>
  <r>
    <n v="4"/>
    <n v="204"/>
    <n v="1"/>
    <x v="1"/>
    <x v="1"/>
    <s v="nontarget"/>
    <s v="Stim5_Set4"/>
    <m/>
    <s v="yes"/>
    <x v="1"/>
    <n v="1"/>
    <x v="1"/>
    <n v="0"/>
  </r>
  <r>
    <n v="4"/>
    <n v="205"/>
    <n v="1"/>
    <x v="1"/>
    <x v="2"/>
    <s v="repeat"/>
    <s v="Stim5_Set4"/>
    <m/>
    <s v="no"/>
    <x v="1"/>
    <n v="0"/>
    <x v="0"/>
    <n v="0"/>
  </r>
  <r>
    <n v="4"/>
    <n v="206"/>
    <n v="2"/>
    <x v="0"/>
    <x v="0"/>
    <s v="filler"/>
    <m/>
    <s v="here"/>
    <m/>
    <x v="0"/>
    <n v="0"/>
    <x v="1"/>
    <n v="0"/>
  </r>
  <r>
    <n v="4"/>
    <n v="207"/>
    <n v="2"/>
    <x v="0"/>
    <x v="0"/>
    <s v="filler"/>
    <s v="Stim3_Set3"/>
    <m/>
    <s v="yes"/>
    <x v="1"/>
    <n v="0"/>
    <x v="0"/>
    <n v="1"/>
  </r>
  <r>
    <n v="4"/>
    <n v="208"/>
    <n v="1"/>
    <x v="1"/>
    <x v="0"/>
    <s v="filler"/>
    <s v="Stim2_Set3"/>
    <m/>
    <m/>
    <x v="0"/>
    <n v="0"/>
    <x v="0"/>
    <n v="1"/>
  </r>
  <r>
    <s v="BREAK"/>
    <n v="209"/>
    <m/>
    <x v="2"/>
    <x v="3"/>
    <m/>
    <m/>
    <m/>
    <s v="no"/>
    <x v="0"/>
    <n v="0"/>
    <x v="0"/>
    <n v="1"/>
  </r>
  <r>
    <n v="1"/>
    <n v="210"/>
    <n v="2"/>
    <x v="0"/>
    <x v="0"/>
    <s v="filler"/>
    <s v="Stim4_Set4"/>
    <m/>
    <s v="yes"/>
    <x v="0"/>
    <n v="0"/>
    <x v="0"/>
    <n v="0"/>
  </r>
  <r>
    <n v="1"/>
    <n v="211"/>
    <n v="2"/>
    <x v="0"/>
    <x v="1"/>
    <s v="nontarget"/>
    <s v="Stim7_Set1"/>
    <m/>
    <s v="yes"/>
    <x v="1"/>
    <n v="1"/>
    <x v="0"/>
    <n v="1"/>
  </r>
  <r>
    <n v="1"/>
    <n v="212"/>
    <n v="2"/>
    <x v="0"/>
    <x v="2"/>
    <s v="repeat"/>
    <s v="Stim7_Set1"/>
    <m/>
    <s v="no"/>
    <x v="1"/>
    <n v="0"/>
    <x v="0"/>
    <n v="0"/>
  </r>
  <r>
    <n v="1"/>
    <n v="213"/>
    <n v="1"/>
    <x v="1"/>
    <x v="0"/>
    <s v="filler"/>
    <s v="Stim6_Set4"/>
    <m/>
    <m/>
    <x v="0"/>
    <n v="0"/>
    <x v="1"/>
    <n v="0"/>
  </r>
  <r>
    <n v="1"/>
    <m/>
    <n v="1"/>
    <x v="1"/>
    <x v="0"/>
    <s v="filler"/>
    <s v="Stim8_Set4"/>
    <m/>
    <s v="yes"/>
    <x v="1"/>
    <n v="0"/>
    <x v="0"/>
    <n v="1"/>
  </r>
  <r>
    <n v="1"/>
    <n v="214"/>
    <n v="1"/>
    <x v="1"/>
    <x v="0"/>
    <s v="filler"/>
    <s v="Stim2_Set4"/>
    <m/>
    <m/>
    <x v="1"/>
    <n v="0"/>
    <x v="0"/>
    <n v="1"/>
  </r>
  <r>
    <n v="1"/>
    <n v="215"/>
    <n v="2"/>
    <x v="0"/>
    <x v="1"/>
    <s v="nontarget"/>
    <s v="Stim6_Set1"/>
    <m/>
    <s v="yes"/>
    <x v="0"/>
    <n v="1"/>
    <x v="0"/>
    <n v="1"/>
  </r>
  <r>
    <n v="1"/>
    <n v="216"/>
    <n v="2"/>
    <x v="0"/>
    <x v="2"/>
    <s v="repeat"/>
    <s v="Stim6_Set1"/>
    <m/>
    <s v="no"/>
    <x v="1"/>
    <n v="0"/>
    <x v="0"/>
    <n v="0"/>
  </r>
  <r>
    <n v="1"/>
    <n v="217"/>
    <n v="2"/>
    <x v="0"/>
    <x v="1"/>
    <s v="nontarget"/>
    <s v="Stim8_Set1"/>
    <m/>
    <s v="yes"/>
    <x v="1"/>
    <n v="1"/>
    <x v="1"/>
    <n v="0"/>
  </r>
  <r>
    <n v="1"/>
    <n v="218"/>
    <n v="1"/>
    <x v="1"/>
    <x v="2"/>
    <s v="switch"/>
    <s v="Stim8_Set1"/>
    <m/>
    <s v="no"/>
    <x v="0"/>
    <n v="0"/>
    <x v="0"/>
    <n v="0"/>
  </r>
  <r>
    <n v="1"/>
    <n v="219"/>
    <n v="1"/>
    <x v="1"/>
    <x v="0"/>
    <s v="filler"/>
    <s v="Stim5_Set4"/>
    <m/>
    <m/>
    <x v="1"/>
    <n v="0"/>
    <x v="1"/>
    <n v="0"/>
  </r>
  <r>
    <n v="1"/>
    <n v="220"/>
    <n v="1"/>
    <x v="1"/>
    <x v="1"/>
    <s v="nontarget"/>
    <s v="Stim1_Set1"/>
    <m/>
    <s v="yes"/>
    <x v="1"/>
    <n v="1"/>
    <x v="0"/>
    <n v="1"/>
  </r>
  <r>
    <n v="1"/>
    <n v="221"/>
    <n v="2"/>
    <x v="0"/>
    <x v="2"/>
    <s v="switch"/>
    <s v="Stim1_Set1"/>
    <m/>
    <s v="no"/>
    <x v="0"/>
    <n v="0"/>
    <x v="0"/>
    <n v="0"/>
  </r>
  <r>
    <n v="1"/>
    <n v="222"/>
    <n v="2"/>
    <x v="0"/>
    <x v="1"/>
    <s v="nontarget"/>
    <s v="Stim4_Set1"/>
    <m/>
    <s v="yes"/>
    <x v="1"/>
    <n v="1"/>
    <x v="1"/>
    <n v="0"/>
  </r>
  <r>
    <n v="1"/>
    <n v="223"/>
    <n v="1"/>
    <x v="1"/>
    <x v="2"/>
    <s v="switch"/>
    <s v="Stim4_Set1"/>
    <m/>
    <s v="no"/>
    <x v="0"/>
    <n v="0"/>
    <x v="0"/>
    <n v="0"/>
  </r>
  <r>
    <n v="1"/>
    <n v="224"/>
    <n v="2"/>
    <x v="0"/>
    <x v="0"/>
    <s v="filler"/>
    <s v="Stim1_Set4"/>
    <m/>
    <m/>
    <x v="0"/>
    <n v="0"/>
    <x v="1"/>
    <n v="0"/>
  </r>
  <r>
    <n v="1"/>
    <n v="225"/>
    <n v="2"/>
    <x v="0"/>
    <x v="0"/>
    <s v="filler"/>
    <s v="Stim8_Set4"/>
    <m/>
    <m/>
    <x v="1"/>
    <n v="0"/>
    <x v="0"/>
    <n v="1"/>
  </r>
  <r>
    <n v="1"/>
    <n v="226"/>
    <n v="1"/>
    <x v="1"/>
    <x v="1"/>
    <s v="nontarget"/>
    <s v="Stim2_Set1"/>
    <m/>
    <s v="yes"/>
    <x v="0"/>
    <n v="1"/>
    <x v="0"/>
    <n v="1"/>
  </r>
  <r>
    <n v="1"/>
    <n v="227"/>
    <n v="1"/>
    <x v="1"/>
    <x v="2"/>
    <s v="repeat"/>
    <s v="Stim2_Set1"/>
    <m/>
    <s v="no"/>
    <x v="1"/>
    <n v="0"/>
    <x v="0"/>
    <n v="0"/>
  </r>
  <r>
    <n v="1"/>
    <n v="228"/>
    <n v="2"/>
    <x v="0"/>
    <x v="0"/>
    <s v="filler"/>
    <s v="Stim3_Set4"/>
    <m/>
    <m/>
    <x v="0"/>
    <n v="0"/>
    <x v="1"/>
    <n v="0"/>
  </r>
  <r>
    <n v="1"/>
    <n v="229"/>
    <n v="2"/>
    <x v="0"/>
    <x v="0"/>
    <s v="filler"/>
    <s v="Stim7_Set4"/>
    <m/>
    <m/>
    <x v="1"/>
    <n v="0"/>
    <x v="0"/>
    <n v="1"/>
  </r>
  <r>
    <n v="1"/>
    <n v="230"/>
    <n v="1"/>
    <x v="1"/>
    <x v="1"/>
    <s v="nontarget"/>
    <s v="Stim3_Set1"/>
    <m/>
    <s v="yes"/>
    <x v="0"/>
    <n v="1"/>
    <x v="0"/>
    <n v="1"/>
  </r>
  <r>
    <n v="1"/>
    <n v="231"/>
    <n v="1"/>
    <x v="1"/>
    <x v="2"/>
    <s v="repeat"/>
    <s v="Stim3_Set1"/>
    <m/>
    <s v="no"/>
    <x v="1"/>
    <n v="0"/>
    <x v="0"/>
    <n v="0"/>
  </r>
  <r>
    <n v="1"/>
    <n v="232"/>
    <n v="1"/>
    <x v="1"/>
    <x v="1"/>
    <s v="nontarget"/>
    <s v="Stim5_Set1"/>
    <m/>
    <s v="yes"/>
    <x v="1"/>
    <n v="1"/>
    <x v="1"/>
    <n v="0"/>
  </r>
  <r>
    <n v="1"/>
    <n v="233"/>
    <n v="2"/>
    <x v="0"/>
    <x v="2"/>
    <s v="switch"/>
    <s v="Stim5_Set1"/>
    <m/>
    <s v="no"/>
    <x v="0"/>
    <n v="0"/>
    <x v="0"/>
    <n v="0"/>
  </r>
  <r>
    <n v="2"/>
    <n v="234"/>
    <n v="2"/>
    <x v="0"/>
    <x v="0"/>
    <s v="filler"/>
    <s v="Stim7_Set1"/>
    <m/>
    <m/>
    <x v="1"/>
    <n v="0"/>
    <x v="1"/>
    <n v="0"/>
  </r>
  <r>
    <n v="2"/>
    <n v="235"/>
    <n v="2"/>
    <x v="0"/>
    <x v="0"/>
    <s v="filler"/>
    <s v="Stim4_Set1"/>
    <m/>
    <s v="yes"/>
    <x v="1"/>
    <n v="0"/>
    <x v="0"/>
    <n v="1"/>
  </r>
  <r>
    <n v="2"/>
    <n v="236"/>
    <n v="1"/>
    <x v="1"/>
    <x v="0"/>
    <s v="filler"/>
    <s v="Stim3_Set1"/>
    <m/>
    <m/>
    <x v="0"/>
    <n v="0"/>
    <x v="0"/>
    <n v="1"/>
  </r>
  <r>
    <n v="2"/>
    <n v="237"/>
    <n v="1"/>
    <x v="1"/>
    <x v="1"/>
    <s v="nontarget"/>
    <s v="Stim7_Set2"/>
    <m/>
    <s v="yes"/>
    <x v="1"/>
    <n v="1"/>
    <x v="0"/>
    <n v="1"/>
  </r>
  <r>
    <n v="2"/>
    <n v="238"/>
    <n v="1"/>
    <x v="1"/>
    <x v="2"/>
    <s v="repeat"/>
    <s v="Stim7_Set2"/>
    <m/>
    <s v="no"/>
    <x v="1"/>
    <n v="0"/>
    <x v="0"/>
    <n v="0"/>
  </r>
  <r>
    <n v="2"/>
    <n v="239"/>
    <n v="2"/>
    <x v="0"/>
    <x v="0"/>
    <s v="filler"/>
    <s v="Stim6_Set1"/>
    <m/>
    <m/>
    <x v="0"/>
    <n v="0"/>
    <x v="1"/>
    <n v="0"/>
  </r>
  <r>
    <n v="2"/>
    <n v="240"/>
    <n v="1"/>
    <x v="1"/>
    <x v="1"/>
    <s v="nontarget"/>
    <s v="Stim6_Set2"/>
    <m/>
    <s v="yes"/>
    <x v="0"/>
    <n v="1"/>
    <x v="0"/>
    <n v="1"/>
  </r>
  <r>
    <n v="2"/>
    <n v="241"/>
    <n v="1"/>
    <x v="1"/>
    <x v="2"/>
    <s v="repeat"/>
    <s v="Stim6_Set2"/>
    <m/>
    <s v="no"/>
    <x v="1"/>
    <n v="0"/>
    <x v="0"/>
    <n v="0"/>
  </r>
  <r>
    <n v="2"/>
    <n v="242"/>
    <n v="1"/>
    <x v="1"/>
    <x v="1"/>
    <s v="nontarget"/>
    <s v="Stim4_Set2"/>
    <m/>
    <s v="yes"/>
    <x v="1"/>
    <n v="1"/>
    <x v="1"/>
    <n v="0"/>
  </r>
  <r>
    <n v="2"/>
    <n v="243"/>
    <n v="2"/>
    <x v="0"/>
    <x v="2"/>
    <s v="switch"/>
    <s v="Stim4_Set2"/>
    <m/>
    <s v="no"/>
    <x v="0"/>
    <n v="0"/>
    <x v="0"/>
    <n v="0"/>
  </r>
  <r>
    <n v="2"/>
    <n v="244"/>
    <n v="2"/>
    <x v="0"/>
    <x v="0"/>
    <s v="filler"/>
    <s v="Stim8_Set1"/>
    <m/>
    <m/>
    <x v="1"/>
    <n v="0"/>
    <x v="1"/>
    <n v="0"/>
  </r>
  <r>
    <n v="2"/>
    <n v="245"/>
    <n v="2"/>
    <x v="0"/>
    <x v="1"/>
    <s v="nontarget"/>
    <s v="Stim5_Set2"/>
    <m/>
    <s v="yes"/>
    <x v="1"/>
    <n v="1"/>
    <x v="0"/>
    <n v="1"/>
  </r>
  <r>
    <n v="2"/>
    <n v="246"/>
    <n v="1"/>
    <x v="1"/>
    <x v="2"/>
    <s v="switch"/>
    <s v="Stim5_Set2"/>
    <m/>
    <s v="no"/>
    <x v="0"/>
    <n v="0"/>
    <x v="0"/>
    <n v="0"/>
  </r>
  <r>
    <n v="2"/>
    <n v="247"/>
    <n v="1"/>
    <x v="1"/>
    <x v="0"/>
    <s v="filler"/>
    <s v="Stim1_Set1"/>
    <m/>
    <m/>
    <x v="1"/>
    <n v="0"/>
    <x v="1"/>
    <n v="0"/>
  </r>
  <r>
    <n v="2"/>
    <n v="248"/>
    <n v="1"/>
    <x v="1"/>
    <x v="1"/>
    <s v="nontarget"/>
    <s v="Stim8_Set2"/>
    <m/>
    <s v="yes"/>
    <x v="1"/>
    <n v="1"/>
    <x v="0"/>
    <n v="1"/>
  </r>
  <r>
    <n v="2"/>
    <n v="249"/>
    <n v="2"/>
    <x v="0"/>
    <x v="2"/>
    <s v="switch"/>
    <s v="Stim8_Set2"/>
    <m/>
    <s v="no"/>
    <x v="0"/>
    <n v="0"/>
    <x v="0"/>
    <n v="0"/>
  </r>
  <r>
    <n v="2"/>
    <n v="250"/>
    <n v="1"/>
    <x v="1"/>
    <x v="0"/>
    <s v="filler"/>
    <s v="Stim4_Set1"/>
    <m/>
    <m/>
    <x v="0"/>
    <n v="0"/>
    <x v="1"/>
    <n v="0"/>
  </r>
  <r>
    <n v="2"/>
    <n v="251"/>
    <n v="2"/>
    <x v="0"/>
    <x v="1"/>
    <s v="nontarget"/>
    <s v="Stim2_Set2"/>
    <m/>
    <s v="yes"/>
    <x v="0"/>
    <n v="1"/>
    <x v="0"/>
    <n v="1"/>
  </r>
  <r>
    <n v="2"/>
    <n v="252"/>
    <n v="2"/>
    <x v="0"/>
    <x v="2"/>
    <s v="repeat"/>
    <s v="Stim2_Set2"/>
    <m/>
    <s v="no"/>
    <x v="1"/>
    <n v="0"/>
    <x v="0"/>
    <n v="0"/>
  </r>
  <r>
    <n v="2"/>
    <n v="253"/>
    <n v="1"/>
    <x v="1"/>
    <x v="0"/>
    <s v="filler"/>
    <s v="Stim2_Set1"/>
    <m/>
    <m/>
    <x v="0"/>
    <n v="0"/>
    <x v="1"/>
    <n v="0"/>
  </r>
  <r>
    <n v="2"/>
    <n v="254"/>
    <n v="1"/>
    <x v="1"/>
    <x v="0"/>
    <s v="filler"/>
    <s v="Stim6_Set1"/>
    <m/>
    <s v="yes"/>
    <x v="1"/>
    <n v="0"/>
    <x v="0"/>
    <n v="1"/>
  </r>
  <r>
    <n v="2"/>
    <n v="255"/>
    <n v="2"/>
    <x v="0"/>
    <x v="1"/>
    <s v="nontarget"/>
    <s v="Stim1_Set2"/>
    <m/>
    <s v="yes"/>
    <x v="0"/>
    <n v="1"/>
    <x v="0"/>
    <n v="1"/>
  </r>
  <r>
    <n v="2"/>
    <n v="256"/>
    <n v="2"/>
    <x v="0"/>
    <x v="2"/>
    <s v="repeat"/>
    <s v="Stim1_Set2"/>
    <m/>
    <s v="no"/>
    <x v="1"/>
    <n v="0"/>
    <x v="0"/>
    <n v="0"/>
  </r>
  <r>
    <n v="2"/>
    <n v="257"/>
    <n v="2"/>
    <x v="0"/>
    <x v="0"/>
    <s v="filler"/>
    <s v="Stim5_Set1"/>
    <m/>
    <m/>
    <x v="1"/>
    <n v="0"/>
    <x v="1"/>
    <n v="0"/>
  </r>
  <r>
    <n v="2"/>
    <n v="258"/>
    <n v="2"/>
    <x v="0"/>
    <x v="1"/>
    <s v="nontarget"/>
    <s v="Stim3_Set2"/>
    <m/>
    <s v="yes"/>
    <x v="1"/>
    <n v="1"/>
    <x v="0"/>
    <n v="1"/>
  </r>
  <r>
    <n v="2"/>
    <n v="259"/>
    <n v="1"/>
    <x v="1"/>
    <x v="2"/>
    <s v="switch"/>
    <s v="Stim3_Set2"/>
    <m/>
    <s v="no"/>
    <x v="0"/>
    <n v="0"/>
    <x v="0"/>
    <n v="0"/>
  </r>
  <r>
    <n v="3"/>
    <n v="260"/>
    <n v="1"/>
    <x v="1"/>
    <x v="0"/>
    <s v="filler"/>
    <s v="Stim7_Set2"/>
    <m/>
    <m/>
    <x v="1"/>
    <n v="0"/>
    <x v="1"/>
    <n v="0"/>
  </r>
  <r>
    <n v="3"/>
    <n v="261"/>
    <n v="1"/>
    <x v="1"/>
    <x v="1"/>
    <s v="nontarget"/>
    <s v="Stim4_Set3"/>
    <m/>
    <s v="yes"/>
    <x v="1"/>
    <n v="1"/>
    <x v="0"/>
    <n v="1"/>
  </r>
  <r>
    <n v="3"/>
    <n v="262"/>
    <n v="2"/>
    <x v="0"/>
    <x v="2"/>
    <s v="switch"/>
    <s v="Stim4_Set3"/>
    <m/>
    <s v="no"/>
    <x v="0"/>
    <n v="0"/>
    <x v="0"/>
    <n v="0"/>
  </r>
  <r>
    <n v="3"/>
    <n v="263"/>
    <n v="2"/>
    <x v="0"/>
    <x v="0"/>
    <s v="filler"/>
    <s v="Stim6_Set2"/>
    <m/>
    <m/>
    <x v="1"/>
    <n v="0"/>
    <x v="1"/>
    <n v="0"/>
  </r>
  <r>
    <n v="3"/>
    <n v="264"/>
    <n v="2"/>
    <x v="0"/>
    <x v="1"/>
    <s v="nontarget"/>
    <s v="Stim7_Set3"/>
    <m/>
    <s v="yes"/>
    <x v="1"/>
    <n v="1"/>
    <x v="0"/>
    <n v="1"/>
  </r>
  <r>
    <n v="3"/>
    <n v="265"/>
    <n v="1"/>
    <x v="1"/>
    <x v="2"/>
    <s v="switch"/>
    <s v="Stim7_Set3"/>
    <m/>
    <s v="no"/>
    <x v="0"/>
    <n v="0"/>
    <x v="0"/>
    <n v="0"/>
  </r>
  <r>
    <n v="3"/>
    <n v="266"/>
    <n v="1"/>
    <x v="1"/>
    <x v="1"/>
    <s v="nontarget"/>
    <s v="Stim2_Set3"/>
    <m/>
    <s v="yes"/>
    <x v="1"/>
    <n v="1"/>
    <x v="1"/>
    <n v="0"/>
  </r>
  <r>
    <n v="3"/>
    <n v="267"/>
    <n v="2"/>
    <x v="0"/>
    <x v="2"/>
    <s v="switch"/>
    <s v="Stim2_Set3"/>
    <m/>
    <s v="no"/>
    <x v="0"/>
    <n v="0"/>
    <x v="0"/>
    <n v="0"/>
  </r>
  <r>
    <n v="3"/>
    <n v="268"/>
    <n v="1"/>
    <x v="1"/>
    <x v="0"/>
    <s v="filler"/>
    <s v="Stim8_Set2"/>
    <m/>
    <m/>
    <x v="0"/>
    <n v="0"/>
    <x v="1"/>
    <n v="0"/>
  </r>
  <r>
    <n v="3"/>
    <n v="269"/>
    <n v="2"/>
    <x v="0"/>
    <x v="1"/>
    <s v="nontarget"/>
    <s v="Stim6_Set3"/>
    <m/>
    <s v="yes"/>
    <x v="0"/>
    <n v="1"/>
    <x v="0"/>
    <n v="1"/>
  </r>
  <r>
    <n v="3"/>
    <n v="270"/>
    <n v="2"/>
    <x v="0"/>
    <x v="2"/>
    <s v="repeat"/>
    <s v="Stim6_Set3"/>
    <m/>
    <s v="no"/>
    <x v="1"/>
    <n v="0"/>
    <x v="0"/>
    <n v="0"/>
  </r>
  <r>
    <n v="3"/>
    <n v="271"/>
    <n v="1"/>
    <x v="1"/>
    <x v="0"/>
    <s v="filler"/>
    <s v="Stim2_Set2"/>
    <m/>
    <m/>
    <x v="0"/>
    <n v="0"/>
    <x v="1"/>
    <n v="0"/>
  </r>
  <r>
    <n v="3"/>
    <n v="272"/>
    <n v="1"/>
    <x v="1"/>
    <x v="0"/>
    <s v="filler"/>
    <s v="Stim1_Set2"/>
    <m/>
    <s v="yes"/>
    <x v="1"/>
    <n v="0"/>
    <x v="0"/>
    <n v="1"/>
  </r>
  <r>
    <n v="3"/>
    <n v="273"/>
    <n v="2"/>
    <x v="0"/>
    <x v="1"/>
    <s v="nontarget"/>
    <s v="Stim8_Set3"/>
    <m/>
    <s v="yes"/>
    <x v="0"/>
    <n v="1"/>
    <x v="0"/>
    <n v="1"/>
  </r>
  <r>
    <n v="3"/>
    <n v="274"/>
    <n v="2"/>
    <x v="0"/>
    <x v="2"/>
    <s v="repeat"/>
    <s v="Stim8_Set3"/>
    <m/>
    <s v="no"/>
    <x v="1"/>
    <n v="0"/>
    <x v="0"/>
    <n v="0"/>
  </r>
  <r>
    <n v="3"/>
    <n v="275"/>
    <n v="2"/>
    <x v="0"/>
    <x v="1"/>
    <s v="nontarget"/>
    <s v="Stim5_Set3"/>
    <m/>
    <s v="yes"/>
    <x v="1"/>
    <n v="1"/>
    <x v="1"/>
    <n v="0"/>
  </r>
  <r>
    <n v="3"/>
    <n v="276"/>
    <n v="1"/>
    <x v="1"/>
    <x v="2"/>
    <s v="switch"/>
    <s v="Stim5_Set3"/>
    <m/>
    <s v="no"/>
    <x v="0"/>
    <n v="0"/>
    <x v="0"/>
    <n v="0"/>
  </r>
  <r>
    <n v="3"/>
    <n v="277"/>
    <n v="2"/>
    <x v="0"/>
    <x v="0"/>
    <s v="filler"/>
    <s v="Stim4_Set2"/>
    <m/>
    <m/>
    <x v="0"/>
    <n v="0"/>
    <x v="1"/>
    <n v="0"/>
  </r>
  <r>
    <n v="3"/>
    <n v="278"/>
    <n v="1"/>
    <x v="1"/>
    <x v="0"/>
    <s v="filler"/>
    <s v="Stim5_Set2"/>
    <m/>
    <m/>
    <x v="0"/>
    <n v="0"/>
    <x v="0"/>
    <n v="1"/>
  </r>
  <r>
    <n v="3"/>
    <n v="279"/>
    <n v="1"/>
    <x v="1"/>
    <x v="1"/>
    <s v="nontarget"/>
    <s v="Stim3_Set3"/>
    <m/>
    <s v="yes"/>
    <x v="1"/>
    <n v="1"/>
    <x v="0"/>
    <n v="1"/>
  </r>
  <r>
    <n v="3"/>
    <n v="280"/>
    <n v="1"/>
    <x v="1"/>
    <x v="2"/>
    <s v="repeat"/>
    <s v="Stim3_Set3"/>
    <m/>
    <s v="no"/>
    <x v="1"/>
    <n v="0"/>
    <x v="0"/>
    <n v="0"/>
  </r>
  <r>
    <n v="3"/>
    <n v="281"/>
    <n v="2"/>
    <x v="0"/>
    <x v="0"/>
    <s v="filler"/>
    <s v="Stim3_Set2"/>
    <m/>
    <m/>
    <x v="0"/>
    <n v="0"/>
    <x v="1"/>
    <n v="0"/>
  </r>
  <r>
    <n v="3"/>
    <n v="282"/>
    <n v="1"/>
    <x v="1"/>
    <x v="1"/>
    <s v="nontarget"/>
    <s v="Stim1_Set3"/>
    <m/>
    <s v="yes"/>
    <x v="0"/>
    <n v="1"/>
    <x v="0"/>
    <n v="1"/>
  </r>
  <r>
    <n v="3"/>
    <n v="283"/>
    <n v="1"/>
    <x v="1"/>
    <x v="2"/>
    <s v="repeat"/>
    <s v="Stim1_Set3"/>
    <m/>
    <s v="no"/>
    <x v="1"/>
    <n v="0"/>
    <x v="0"/>
    <n v="0"/>
  </r>
  <r>
    <n v="3"/>
    <n v="284"/>
    <n v="2"/>
    <x v="0"/>
    <x v="0"/>
    <s v="filler"/>
    <s v="Stim1_Set2"/>
    <m/>
    <m/>
    <x v="0"/>
    <n v="0"/>
    <x v="1"/>
    <n v="0"/>
  </r>
  <r>
    <n v="4"/>
    <n v="285"/>
    <n v="1"/>
    <x v="1"/>
    <x v="1"/>
    <s v="nontarget"/>
    <s v="Stim4_Set4"/>
    <m/>
    <s v="yes"/>
    <x v="0"/>
    <n v="1"/>
    <x v="0"/>
    <n v="1"/>
  </r>
  <r>
    <n v="4"/>
    <n v="286"/>
    <n v="1"/>
    <x v="1"/>
    <x v="2"/>
    <s v="repeat"/>
    <s v="Stim4_Set4"/>
    <m/>
    <s v="no"/>
    <x v="1"/>
    <n v="0"/>
    <x v="0"/>
    <n v="0"/>
  </r>
  <r>
    <n v="4"/>
    <n v="287"/>
    <n v="2"/>
    <x v="0"/>
    <x v="0"/>
    <s v="filler"/>
    <s v="Stim4_Set3"/>
    <m/>
    <m/>
    <x v="0"/>
    <n v="0"/>
    <x v="1"/>
    <n v="0"/>
  </r>
  <r>
    <n v="4"/>
    <n v="288"/>
    <n v="1"/>
    <x v="1"/>
    <x v="1"/>
    <s v="nontarget"/>
    <s v="Stim6_Set4"/>
    <m/>
    <s v="yes"/>
    <x v="0"/>
    <n v="1"/>
    <x v="0"/>
    <n v="1"/>
  </r>
  <r>
    <n v="4"/>
    <n v="289"/>
    <n v="2"/>
    <x v="0"/>
    <x v="2"/>
    <s v="switch"/>
    <s v="Stim6_Set4"/>
    <m/>
    <s v="no"/>
    <x v="0"/>
    <n v="0"/>
    <x v="0"/>
    <n v="0"/>
  </r>
  <r>
    <n v="4"/>
    <n v="290"/>
    <n v="2"/>
    <x v="0"/>
    <x v="1"/>
    <s v="nontarget"/>
    <s v="Stim2_Set3"/>
    <m/>
    <s v="yes"/>
    <x v="1"/>
    <n v="0"/>
    <x v="1"/>
    <n v="0"/>
  </r>
  <r>
    <n v="4"/>
    <n v="291"/>
    <n v="2"/>
    <x v="0"/>
    <x v="2"/>
    <s v="repeat"/>
    <s v="Stim2_Set4"/>
    <m/>
    <s v="no"/>
    <x v="1"/>
    <n v="0"/>
    <x v="0"/>
    <n v="0"/>
  </r>
  <r>
    <n v="4"/>
    <n v="292"/>
    <n v="1"/>
    <x v="1"/>
    <x v="0"/>
    <s v="filler"/>
    <s v="Stim7_Set3"/>
    <m/>
    <m/>
    <x v="0"/>
    <n v="0"/>
    <x v="1"/>
    <n v="0"/>
  </r>
  <r>
    <n v="4"/>
    <n v="293"/>
    <n v="1"/>
    <x v="1"/>
    <x v="0"/>
    <s v="filler"/>
    <s v="Stim1_Set3"/>
    <m/>
    <s v="yes"/>
    <x v="1"/>
    <n v="0"/>
    <x v="0"/>
    <n v="1"/>
  </r>
  <r>
    <n v="4"/>
    <n v="294"/>
    <n v="2"/>
    <x v="0"/>
    <x v="0"/>
    <s v="filler"/>
    <s v="Stim2_Set3"/>
    <m/>
    <s v="yes"/>
    <x v="0"/>
    <n v="0"/>
    <x v="0"/>
    <n v="1"/>
  </r>
  <r>
    <n v="4"/>
    <n v="295"/>
    <n v="2"/>
    <x v="0"/>
    <x v="1"/>
    <s v="nontarget"/>
    <s v="Stim5_Set4"/>
    <m/>
    <s v="yes"/>
    <x v="1"/>
    <n v="1"/>
    <x v="0"/>
    <n v="1"/>
  </r>
  <r>
    <n v="4"/>
    <n v="296"/>
    <n v="1"/>
    <x v="1"/>
    <x v="2"/>
    <s v="switch"/>
    <s v="Stim5_Set4"/>
    <m/>
    <s v="no"/>
    <x v="0"/>
    <n v="0"/>
    <x v="0"/>
    <n v="0"/>
  </r>
  <r>
    <n v="4"/>
    <n v="297"/>
    <n v="1"/>
    <x v="1"/>
    <x v="1"/>
    <s v="nontarget"/>
    <s v="Stim1_Set4"/>
    <m/>
    <s v="yes"/>
    <x v="1"/>
    <n v="1"/>
    <x v="1"/>
    <n v="0"/>
  </r>
  <r>
    <n v="4"/>
    <n v="298"/>
    <n v="2"/>
    <x v="0"/>
    <x v="2"/>
    <s v="switch"/>
    <s v="Stim1_Set4"/>
    <m/>
    <s v="no"/>
    <x v="0"/>
    <n v="0"/>
    <x v="0"/>
    <n v="0"/>
  </r>
  <r>
    <n v="4"/>
    <n v="299"/>
    <n v="1"/>
    <x v="1"/>
    <x v="0"/>
    <s v="filler"/>
    <s v="Stim6_Set3"/>
    <m/>
    <m/>
    <x v="0"/>
    <n v="0"/>
    <x v="1"/>
    <n v="0"/>
  </r>
  <r>
    <n v="4"/>
    <n v="300"/>
    <n v="2"/>
    <x v="0"/>
    <x v="1"/>
    <s v="nontarget"/>
    <s v="Stim8_Set4"/>
    <m/>
    <s v="yes"/>
    <x v="0"/>
    <n v="1"/>
    <x v="0"/>
    <n v="1"/>
  </r>
  <r>
    <n v="4"/>
    <n v="301"/>
    <n v="2"/>
    <x v="0"/>
    <x v="2"/>
    <s v="repeat"/>
    <s v="Stim8_Set4"/>
    <m/>
    <s v="no"/>
    <x v="1"/>
    <n v="0"/>
    <x v="0"/>
    <n v="0"/>
  </r>
  <r>
    <n v="4"/>
    <n v="302"/>
    <n v="1"/>
    <x v="1"/>
    <x v="0"/>
    <s v="filler"/>
    <s v="Stim8_Set3"/>
    <m/>
    <m/>
    <x v="0"/>
    <n v="0"/>
    <x v="1"/>
    <n v="0"/>
  </r>
  <r>
    <n v="4"/>
    <n v="303"/>
    <n v="2"/>
    <x v="0"/>
    <x v="0"/>
    <s v="filler"/>
    <s v="Stim1_Set3"/>
    <m/>
    <s v="yes"/>
    <x v="0"/>
    <n v="0"/>
    <x v="0"/>
    <n v="1"/>
  </r>
  <r>
    <n v="4"/>
    <n v="304"/>
    <n v="2"/>
    <x v="0"/>
    <x v="1"/>
    <s v="nontarget"/>
    <s v="Stim3_Set4"/>
    <m/>
    <s v="yes"/>
    <x v="1"/>
    <n v="1"/>
    <x v="0"/>
    <n v="1"/>
  </r>
  <r>
    <n v="4"/>
    <n v="305"/>
    <n v="1"/>
    <x v="1"/>
    <x v="2"/>
    <s v="switch"/>
    <s v="Stim3_Set4"/>
    <m/>
    <s v="no"/>
    <x v="0"/>
    <n v="0"/>
    <x v="0"/>
    <n v="0"/>
  </r>
  <r>
    <n v="4"/>
    <n v="306"/>
    <n v="1"/>
    <x v="1"/>
    <x v="0"/>
    <s v="filler"/>
    <s v="Stim5_Set3"/>
    <m/>
    <m/>
    <x v="1"/>
    <n v="0"/>
    <x v="1"/>
    <n v="0"/>
  </r>
  <r>
    <n v="4"/>
    <n v="307"/>
    <n v="2"/>
    <x v="0"/>
    <x v="0"/>
    <s v="filler"/>
    <m/>
    <s v="here"/>
    <s v="yes"/>
    <x v="0"/>
    <n v="0"/>
    <x v="0"/>
    <n v="1"/>
  </r>
  <r>
    <n v="4"/>
    <n v="308"/>
    <n v="1"/>
    <x v="1"/>
    <x v="0"/>
    <s v="filler"/>
    <s v="Stim3_Set3"/>
    <m/>
    <m/>
    <x v="0"/>
    <n v="0"/>
    <x v="0"/>
    <n v="1"/>
  </r>
  <r>
    <n v="4"/>
    <n v="309"/>
    <n v="1"/>
    <x v="1"/>
    <x v="1"/>
    <s v="nontarget"/>
    <s v="Stim7_Set4"/>
    <m/>
    <s v="yes"/>
    <x v="1"/>
    <n v="1"/>
    <x v="0"/>
    <n v="1"/>
  </r>
  <r>
    <n v="4"/>
    <n v="310"/>
    <n v="1"/>
    <x v="1"/>
    <x v="2"/>
    <s v="repeat"/>
    <s v="Stim7_Set4"/>
    <m/>
    <s v="no"/>
    <x v="1"/>
    <n v="0"/>
    <x v="0"/>
    <n v="0"/>
  </r>
  <r>
    <s v="BREAK"/>
    <n v="311"/>
    <m/>
    <x v="2"/>
    <x v="3"/>
    <m/>
    <m/>
    <m/>
    <s v="no"/>
    <x v="0"/>
    <n v="0"/>
    <x v="1"/>
    <n v="0"/>
  </r>
  <r>
    <n v="1"/>
    <n v="312"/>
    <n v="2"/>
    <x v="0"/>
    <x v="0"/>
    <s v="filler"/>
    <s v="Stim6_Set4"/>
    <m/>
    <s v="yes"/>
    <x v="0"/>
    <n v="0"/>
    <x v="0"/>
    <n v="0"/>
  </r>
  <r>
    <n v="1"/>
    <n v="313"/>
    <n v="2"/>
    <x v="0"/>
    <x v="1"/>
    <s v="nontarget"/>
    <s v="Stim5_Set1"/>
    <m/>
    <s v="yes"/>
    <x v="1"/>
    <n v="1"/>
    <x v="0"/>
    <n v="1"/>
  </r>
  <r>
    <n v="1"/>
    <n v="314"/>
    <n v="2"/>
    <x v="0"/>
    <x v="2"/>
    <s v="repeat"/>
    <s v="Stim5_Set1"/>
    <m/>
    <s v="no"/>
    <x v="1"/>
    <n v="0"/>
    <x v="0"/>
    <n v="0"/>
  </r>
  <r>
    <n v="1"/>
    <n v="315"/>
    <n v="1"/>
    <x v="1"/>
    <x v="0"/>
    <s v="filler"/>
    <s v="Stim3_Set4"/>
    <m/>
    <m/>
    <x v="0"/>
    <n v="0"/>
    <x v="1"/>
    <n v="0"/>
  </r>
  <r>
    <n v="1"/>
    <n v="316"/>
    <n v="1"/>
    <x v="1"/>
    <x v="0"/>
    <s v="filler"/>
    <s v="Stim4_Set4"/>
    <m/>
    <s v="yes"/>
    <x v="1"/>
    <n v="0"/>
    <x v="0"/>
    <n v="1"/>
  </r>
  <r>
    <n v="1"/>
    <n v="317"/>
    <n v="1"/>
    <x v="1"/>
    <x v="0"/>
    <s v="filler"/>
    <s v="Stim1_Set4"/>
    <m/>
    <m/>
    <x v="1"/>
    <n v="0"/>
    <x v="0"/>
    <n v="1"/>
  </r>
  <r>
    <n v="1"/>
    <n v="318"/>
    <n v="2"/>
    <x v="0"/>
    <x v="1"/>
    <s v="nontarget"/>
    <s v="Stim8_Set1"/>
    <m/>
    <s v="yes"/>
    <x v="0"/>
    <n v="1"/>
    <x v="0"/>
    <n v="1"/>
  </r>
  <r>
    <n v="1"/>
    <n v="319"/>
    <n v="2"/>
    <x v="0"/>
    <x v="2"/>
    <s v="repeat"/>
    <s v="Stim8_Set1"/>
    <m/>
    <s v="no"/>
    <x v="1"/>
    <n v="0"/>
    <x v="0"/>
    <n v="0"/>
  </r>
  <r>
    <n v="1"/>
    <n v="320"/>
    <n v="1"/>
    <x v="1"/>
    <x v="0"/>
    <s v="filler"/>
    <s v="Stim8_Set4"/>
    <m/>
    <m/>
    <x v="0"/>
    <n v="0"/>
    <x v="1"/>
    <n v="0"/>
  </r>
  <r>
    <n v="1"/>
    <n v="321"/>
    <n v="2"/>
    <x v="0"/>
    <x v="1"/>
    <s v="nontarget"/>
    <s v="Stim7_Set1"/>
    <m/>
    <s v="yes"/>
    <x v="0"/>
    <n v="1"/>
    <x v="0"/>
    <n v="1"/>
  </r>
  <r>
    <n v="1"/>
    <n v="322"/>
    <n v="1"/>
    <x v="1"/>
    <x v="2"/>
    <s v="switch"/>
    <s v="Stim7_Set1"/>
    <m/>
    <s v="no"/>
    <x v="0"/>
    <n v="0"/>
    <x v="0"/>
    <n v="0"/>
  </r>
  <r>
    <n v="1"/>
    <n v="323"/>
    <n v="1"/>
    <x v="1"/>
    <x v="0"/>
    <s v="filler"/>
    <s v="Stim4_Set4"/>
    <m/>
    <m/>
    <x v="1"/>
    <n v="0"/>
    <x v="1"/>
    <n v="0"/>
  </r>
  <r>
    <n v="1"/>
    <n v="324"/>
    <n v="1"/>
    <x v="1"/>
    <x v="1"/>
    <s v="nontarget"/>
    <s v="Stim3_Set1"/>
    <m/>
    <s v="yes"/>
    <x v="1"/>
    <n v="1"/>
    <x v="0"/>
    <n v="1"/>
  </r>
  <r>
    <n v="1"/>
    <n v="325"/>
    <n v="2"/>
    <x v="0"/>
    <x v="2"/>
    <s v="switch"/>
    <s v="Stim3_Set1"/>
    <m/>
    <s v="no"/>
    <x v="0"/>
    <n v="0"/>
    <x v="0"/>
    <n v="0"/>
  </r>
  <r>
    <n v="1"/>
    <n v="326"/>
    <n v="2"/>
    <x v="0"/>
    <x v="1"/>
    <s v="nontarget"/>
    <s v="Stim2_Set1"/>
    <m/>
    <s v="yes"/>
    <x v="1"/>
    <n v="1"/>
    <x v="1"/>
    <n v="0"/>
  </r>
  <r>
    <n v="1"/>
    <n v="327"/>
    <n v="1"/>
    <x v="1"/>
    <x v="2"/>
    <s v="switch"/>
    <s v="Stim2_Set1"/>
    <m/>
    <s v="no"/>
    <x v="0"/>
    <n v="0"/>
    <x v="0"/>
    <n v="0"/>
  </r>
  <r>
    <n v="1"/>
    <n v="328"/>
    <n v="1"/>
    <x v="1"/>
    <x v="0"/>
    <s v="filler"/>
    <s v="Stim7_Set4"/>
    <m/>
    <m/>
    <x v="1"/>
    <n v="0"/>
    <x v="1"/>
    <n v="0"/>
  </r>
  <r>
    <n v="1"/>
    <n v="329"/>
    <n v="2"/>
    <x v="0"/>
    <x v="0"/>
    <s v="filler"/>
    <s v="Stim5_Set4"/>
    <m/>
    <s v="yes"/>
    <x v="0"/>
    <n v="0"/>
    <x v="0"/>
    <n v="1"/>
  </r>
  <r>
    <n v="1"/>
    <n v="330"/>
    <n v="1"/>
    <x v="1"/>
    <x v="1"/>
    <s v="nontarget"/>
    <s v="Stim4_Set1"/>
    <m/>
    <s v="yes"/>
    <x v="0"/>
    <n v="1"/>
    <x v="0"/>
    <n v="1"/>
  </r>
  <r>
    <n v="1"/>
    <n v="331"/>
    <n v="1"/>
    <x v="1"/>
    <x v="2"/>
    <s v="repeat"/>
    <s v="Stim4_Set1"/>
    <m/>
    <s v="no"/>
    <x v="1"/>
    <n v="0"/>
    <x v="0"/>
    <n v="0"/>
  </r>
  <r>
    <n v="1"/>
    <n v="332"/>
    <n v="2"/>
    <x v="0"/>
    <x v="0"/>
    <s v="filler"/>
    <s v="Stim2_Set4"/>
    <m/>
    <m/>
    <x v="0"/>
    <n v="0"/>
    <x v="1"/>
    <n v="0"/>
  </r>
  <r>
    <n v="1"/>
    <n v="333"/>
    <n v="1"/>
    <x v="1"/>
    <x v="1"/>
    <s v="nontarget"/>
    <s v="Stim1_Set1"/>
    <m/>
    <s v="yes"/>
    <x v="0"/>
    <n v="1"/>
    <x v="0"/>
    <n v="1"/>
  </r>
  <r>
    <n v="1"/>
    <n v="334"/>
    <n v="1"/>
    <x v="1"/>
    <x v="2"/>
    <s v="repeat"/>
    <s v="Stim1_Set1"/>
    <m/>
    <s v="no"/>
    <x v="1"/>
    <n v="0"/>
    <x v="0"/>
    <n v="0"/>
  </r>
  <r>
    <n v="1"/>
    <n v="335"/>
    <n v="1"/>
    <x v="1"/>
    <x v="1"/>
    <s v="nontarget"/>
    <s v="Stim6_Set1"/>
    <m/>
    <s v="yes"/>
    <x v="1"/>
    <n v="1"/>
    <x v="1"/>
    <n v="0"/>
  </r>
  <r>
    <n v="1"/>
    <n v="336"/>
    <n v="2"/>
    <x v="0"/>
    <x v="2"/>
    <s v="switch"/>
    <s v="Stim6_Set1"/>
    <m/>
    <s v="no"/>
    <x v="0"/>
    <n v="0"/>
    <x v="0"/>
    <n v="0"/>
  </r>
  <r>
    <n v="2"/>
    <n v="337"/>
    <n v="1"/>
    <x v="1"/>
    <x v="0"/>
    <s v="filler"/>
    <s v="Stim5_Set1"/>
    <m/>
    <m/>
    <x v="0"/>
    <n v="0"/>
    <x v="1"/>
    <n v="0"/>
  </r>
  <r>
    <n v="2"/>
    <n v="338"/>
    <n v="1"/>
    <x v="1"/>
    <x v="1"/>
    <s v="nontarget"/>
    <s v="Stim8_Set2"/>
    <m/>
    <s v="yes"/>
    <x v="1"/>
    <n v="1"/>
    <x v="0"/>
    <n v="1"/>
  </r>
  <r>
    <n v="2"/>
    <n v="339"/>
    <n v="1"/>
    <x v="1"/>
    <x v="2"/>
    <s v="repeat"/>
    <s v="Stim8_Set2"/>
    <m/>
    <s v="no"/>
    <x v="1"/>
    <n v="0"/>
    <x v="0"/>
    <n v="0"/>
  </r>
  <r>
    <n v="2"/>
    <n v="340"/>
    <n v="2"/>
    <x v="0"/>
    <x v="0"/>
    <s v="filler"/>
    <s v="Stim1_Set1"/>
    <m/>
    <m/>
    <x v="0"/>
    <n v="0"/>
    <x v="1"/>
    <n v="0"/>
  </r>
  <r>
    <n v="2"/>
    <m/>
    <n v="2"/>
    <x v="0"/>
    <x v="0"/>
    <s v="filler"/>
    <s v="Stim2_Set1"/>
    <m/>
    <s v="yes"/>
    <x v="1"/>
    <n v="0"/>
    <x v="0"/>
    <n v="1"/>
  </r>
  <r>
    <n v="2"/>
    <n v="341"/>
    <n v="1"/>
    <x v="1"/>
    <x v="1"/>
    <s v="nontarget"/>
    <s v="Stim4_Set2"/>
    <m/>
    <s v="yes"/>
    <x v="0"/>
    <n v="1"/>
    <x v="0"/>
    <n v="1"/>
  </r>
  <r>
    <n v="2"/>
    <n v="342"/>
    <n v="1"/>
    <x v="1"/>
    <x v="2"/>
    <s v="repeat"/>
    <s v="Stim4_Set2"/>
    <m/>
    <s v="no"/>
    <x v="1"/>
    <n v="0"/>
    <x v="0"/>
    <n v="0"/>
  </r>
  <r>
    <n v="2"/>
    <n v="343"/>
    <n v="1"/>
    <x v="1"/>
    <x v="0"/>
    <s v="filler"/>
    <s v="Stim8_Set1"/>
    <m/>
    <m/>
    <x v="1"/>
    <n v="0"/>
    <x v="1"/>
    <n v="0"/>
  </r>
  <r>
    <n v="2"/>
    <n v="344"/>
    <n v="2"/>
    <x v="0"/>
    <x v="0"/>
    <s v="filler"/>
    <m/>
    <s v="here"/>
    <s v="yes"/>
    <x v="0"/>
    <n v="0"/>
    <x v="0"/>
    <n v="1"/>
  </r>
  <r>
    <n v="2"/>
    <n v="345"/>
    <n v="1"/>
    <x v="1"/>
    <x v="0"/>
    <s v="filler"/>
    <s v="Stim7_Set1"/>
    <m/>
    <m/>
    <x v="0"/>
    <n v="0"/>
    <x v="0"/>
    <n v="1"/>
  </r>
  <r>
    <n v="2"/>
    <n v="346"/>
    <n v="1"/>
    <x v="1"/>
    <x v="1"/>
    <s v="nontarget"/>
    <s v="Stim6_Set2"/>
    <m/>
    <s v="yes"/>
    <x v="1"/>
    <n v="1"/>
    <x v="0"/>
    <n v="1"/>
  </r>
  <r>
    <n v="2"/>
    <n v="347"/>
    <n v="1"/>
    <x v="0"/>
    <x v="2"/>
    <s v="switch"/>
    <s v="Stim6_Set2"/>
    <m/>
    <s v="no"/>
    <x v="0"/>
    <n v="0"/>
    <x v="0"/>
    <n v="0"/>
  </r>
  <r>
    <n v="2"/>
    <n v="348"/>
    <n v="2"/>
    <x v="0"/>
    <x v="0"/>
    <s v="filler"/>
    <s v="Stim3_Set1"/>
    <m/>
    <m/>
    <x v="1"/>
    <n v="0"/>
    <x v="1"/>
    <n v="0"/>
  </r>
  <r>
    <n v="2"/>
    <n v="349"/>
    <n v="2"/>
    <x v="0"/>
    <x v="1"/>
    <s v="nontarget"/>
    <s v="Stim2_Set2"/>
    <m/>
    <s v="yes"/>
    <x v="1"/>
    <n v="1"/>
    <x v="0"/>
    <n v="1"/>
  </r>
  <r>
    <n v="2"/>
    <n v="350"/>
    <n v="1"/>
    <x v="1"/>
    <x v="2"/>
    <s v="switch"/>
    <s v="Stim2_Set2"/>
    <m/>
    <s v="no"/>
    <x v="0"/>
    <n v="0"/>
    <x v="0"/>
    <n v="0"/>
  </r>
  <r>
    <n v="2"/>
    <n v="351"/>
    <n v="1"/>
    <x v="1"/>
    <x v="0"/>
    <s v="filler"/>
    <s v="Stim2_Set1"/>
    <m/>
    <m/>
    <x v="1"/>
    <n v="0"/>
    <x v="1"/>
    <n v="0"/>
  </r>
  <r>
    <n v="2"/>
    <n v="352"/>
    <n v="1"/>
    <x v="1"/>
    <x v="1"/>
    <s v="nontarget"/>
    <s v="Stim7_Set2"/>
    <m/>
    <s v="yes"/>
    <x v="1"/>
    <n v="1"/>
    <x v="0"/>
    <n v="1"/>
  </r>
  <r>
    <n v="2"/>
    <n v="353"/>
    <n v="2"/>
    <x v="0"/>
    <x v="2"/>
    <s v="switch"/>
    <s v="Stim7_Set2"/>
    <m/>
    <s v="no"/>
    <x v="0"/>
    <n v="0"/>
    <x v="0"/>
    <n v="0"/>
  </r>
  <r>
    <n v="2"/>
    <n v="354"/>
    <n v="2"/>
    <x v="0"/>
    <x v="1"/>
    <s v="nontarget"/>
    <s v="Stim3_Set2"/>
    <m/>
    <s v="yes"/>
    <x v="1"/>
    <n v="1"/>
    <x v="1"/>
    <n v="0"/>
  </r>
  <r>
    <n v="2"/>
    <n v="355"/>
    <n v="2"/>
    <x v="0"/>
    <x v="2"/>
    <s v="repeat"/>
    <s v="Stim3_Set2"/>
    <m/>
    <s v="no"/>
    <x v="1"/>
    <n v="0"/>
    <x v="0"/>
    <n v="0"/>
  </r>
  <r>
    <n v="2"/>
    <n v="356"/>
    <n v="1"/>
    <x v="1"/>
    <x v="0"/>
    <s v="filler"/>
    <s v="Stim4_Set1"/>
    <m/>
    <m/>
    <x v="0"/>
    <n v="0"/>
    <x v="1"/>
    <n v="0"/>
  </r>
  <r>
    <n v="2"/>
    <n v="357"/>
    <n v="2"/>
    <x v="0"/>
    <x v="1"/>
    <s v="nontarget"/>
    <s v="Stim5_Set2"/>
    <m/>
    <s v="yes"/>
    <x v="0"/>
    <n v="1"/>
    <x v="0"/>
    <n v="1"/>
  </r>
  <r>
    <n v="2"/>
    <n v="358"/>
    <n v="2"/>
    <x v="0"/>
    <x v="2"/>
    <s v="repeat"/>
    <s v="Stim5_Set2"/>
    <m/>
    <s v="no"/>
    <x v="1"/>
    <n v="0"/>
    <x v="0"/>
    <n v="0"/>
  </r>
  <r>
    <n v="2"/>
    <n v="359"/>
    <n v="1"/>
    <x v="1"/>
    <x v="0"/>
    <s v="filler"/>
    <m/>
    <s v="here"/>
    <m/>
    <x v="0"/>
    <n v="0"/>
    <x v="1"/>
    <n v="0"/>
  </r>
  <r>
    <n v="2"/>
    <n v="360"/>
    <n v="2"/>
    <x v="0"/>
    <x v="0"/>
    <s v="filler"/>
    <s v="Stim6_Set1"/>
    <m/>
    <s v="yes"/>
    <x v="0"/>
    <n v="0"/>
    <x v="0"/>
    <n v="1"/>
  </r>
  <r>
    <n v="2"/>
    <n v="361"/>
    <n v="2"/>
    <x v="0"/>
    <x v="1"/>
    <s v="nontarget"/>
    <s v="Stim1_Set2"/>
    <m/>
    <s v="yes"/>
    <x v="1"/>
    <n v="1"/>
    <x v="0"/>
    <n v="1"/>
  </r>
  <r>
    <n v="2"/>
    <n v="362"/>
    <n v="1"/>
    <x v="1"/>
    <x v="2"/>
    <s v="switch"/>
    <s v="Stim1_Set2"/>
    <m/>
    <s v="no"/>
    <x v="0"/>
    <n v="0"/>
    <x v="0"/>
    <n v="0"/>
  </r>
  <r>
    <n v="3"/>
    <n v="363"/>
    <n v="1"/>
    <x v="1"/>
    <x v="1"/>
    <s v="nontarget"/>
    <s v="Stim5_Set3"/>
    <m/>
    <s v="yes"/>
    <x v="1"/>
    <n v="1"/>
    <x v="1"/>
    <n v="0"/>
  </r>
  <r>
    <n v="3"/>
    <n v="364"/>
    <n v="2"/>
    <x v="0"/>
    <x v="2"/>
    <s v="switch"/>
    <s v="Stim5_Set3"/>
    <m/>
    <s v="no"/>
    <x v="0"/>
    <n v="0"/>
    <x v="0"/>
    <n v="0"/>
  </r>
  <r>
    <n v="3"/>
    <n v="365"/>
    <n v="2"/>
    <x v="0"/>
    <x v="0"/>
    <s v="filler"/>
    <s v="Stim8_Set2"/>
    <m/>
    <m/>
    <x v="1"/>
    <n v="0"/>
    <x v="1"/>
    <n v="0"/>
  </r>
  <r>
    <n v="3"/>
    <n v="366"/>
    <n v="2"/>
    <x v="0"/>
    <x v="1"/>
    <s v="nontarget"/>
    <s v="Stim1_Set3"/>
    <m/>
    <s v="yes"/>
    <x v="1"/>
    <n v="1"/>
    <x v="0"/>
    <n v="1"/>
  </r>
  <r>
    <n v="3"/>
    <n v="367"/>
    <n v="1"/>
    <x v="1"/>
    <x v="2"/>
    <s v="switch"/>
    <s v="Stim1_Set3"/>
    <m/>
    <s v="no"/>
    <x v="0"/>
    <n v="0"/>
    <x v="0"/>
    <n v="0"/>
  </r>
  <r>
    <n v="3"/>
    <n v="368"/>
    <n v="1"/>
    <x v="1"/>
    <x v="0"/>
    <s v="filler"/>
    <s v="Stim4_Set2"/>
    <m/>
    <m/>
    <x v="1"/>
    <n v="0"/>
    <x v="1"/>
    <n v="0"/>
  </r>
  <r>
    <n v="3"/>
    <n v="369"/>
    <n v="1"/>
    <x v="1"/>
    <x v="1"/>
    <s v="nontarget"/>
    <s v="Stim7_Set3"/>
    <m/>
    <s v="yes"/>
    <x v="1"/>
    <n v="1"/>
    <x v="0"/>
    <n v="1"/>
  </r>
  <r>
    <n v="3"/>
    <n v="370"/>
    <n v="2"/>
    <x v="0"/>
    <x v="2"/>
    <s v="switch"/>
    <s v="Stim7_Set3"/>
    <m/>
    <s v="no"/>
    <x v="0"/>
    <n v="0"/>
    <x v="0"/>
    <n v="0"/>
  </r>
  <r>
    <n v="3"/>
    <n v="371"/>
    <n v="1"/>
    <x v="1"/>
    <x v="0"/>
    <s v="filler"/>
    <s v="Stim6_Set2"/>
    <m/>
    <m/>
    <x v="0"/>
    <n v="0"/>
    <x v="1"/>
    <n v="0"/>
  </r>
  <r>
    <n v="3"/>
    <n v="372"/>
    <n v="1"/>
    <x v="1"/>
    <x v="0"/>
    <s v="filler"/>
    <s v="Stim3_Set2"/>
    <m/>
    <m/>
    <x v="1"/>
    <n v="0"/>
    <x v="0"/>
    <n v="1"/>
  </r>
  <r>
    <n v="3"/>
    <n v="373"/>
    <n v="2"/>
    <x v="0"/>
    <x v="1"/>
    <s v="nontarget"/>
    <s v="Stim3_Set3"/>
    <m/>
    <s v="yes"/>
    <x v="0"/>
    <n v="1"/>
    <x v="0"/>
    <n v="1"/>
  </r>
  <r>
    <n v="3"/>
    <n v="374"/>
    <n v="2"/>
    <x v="0"/>
    <x v="2"/>
    <s v="repeat"/>
    <s v="Stim3_Set3"/>
    <m/>
    <s v="no"/>
    <x v="1"/>
    <n v="0"/>
    <x v="0"/>
    <n v="0"/>
  </r>
  <r>
    <n v="3"/>
    <n v="375"/>
    <n v="2"/>
    <x v="0"/>
    <x v="0"/>
    <s v="filler"/>
    <s v="Stim2_Set2"/>
    <m/>
    <m/>
    <x v="1"/>
    <n v="0"/>
    <x v="1"/>
    <n v="0"/>
  </r>
  <r>
    <n v="3"/>
    <n v="376"/>
    <n v="1"/>
    <x v="1"/>
    <x v="0"/>
    <s v="filler"/>
    <s v="Stim7_Set2"/>
    <m/>
    <m/>
    <x v="0"/>
    <n v="0"/>
    <x v="0"/>
    <n v="1"/>
  </r>
  <r>
    <n v="3"/>
    <n v="377"/>
    <n v="2"/>
    <x v="0"/>
    <x v="1"/>
    <s v="nontarget"/>
    <s v="Stim2_Set3"/>
    <m/>
    <s v="yes"/>
    <x v="0"/>
    <n v="1"/>
    <x v="0"/>
    <n v="1"/>
  </r>
  <r>
    <n v="3"/>
    <n v="378"/>
    <n v="2"/>
    <x v="0"/>
    <x v="2"/>
    <s v="repeat"/>
    <s v="Stim2_Set3"/>
    <m/>
    <s v="no"/>
    <x v="1"/>
    <n v="0"/>
    <x v="0"/>
    <n v="0"/>
  </r>
  <r>
    <n v="3"/>
    <n v="379"/>
    <n v="2"/>
    <x v="0"/>
    <x v="1"/>
    <s v="nontarget"/>
    <s v="Stim8_Set3"/>
    <m/>
    <s v="yes"/>
    <x v="1"/>
    <n v="1"/>
    <x v="1"/>
    <n v="0"/>
  </r>
  <r>
    <n v="3"/>
    <n v="380"/>
    <n v="1"/>
    <x v="1"/>
    <x v="2"/>
    <s v="switch"/>
    <s v="Stim8_Set3"/>
    <m/>
    <s v="no"/>
    <x v="0"/>
    <n v="0"/>
    <x v="0"/>
    <n v="0"/>
  </r>
  <r>
    <n v="3"/>
    <n v="381"/>
    <n v="2"/>
    <x v="0"/>
    <x v="0"/>
    <s v="filler"/>
    <s v="Stim5_Set2"/>
    <m/>
    <m/>
    <x v="0"/>
    <n v="0"/>
    <x v="1"/>
    <n v="0"/>
  </r>
  <r>
    <n v="3"/>
    <n v="382"/>
    <n v="2"/>
    <x v="0"/>
    <x v="0"/>
    <s v="filler"/>
    <s v="Stim4_Set2"/>
    <m/>
    <s v="yes"/>
    <x v="1"/>
    <n v="0"/>
    <x v="0"/>
    <n v="1"/>
  </r>
  <r>
    <n v="3"/>
    <n v="383"/>
    <n v="1"/>
    <x v="1"/>
    <x v="0"/>
    <s v="filler"/>
    <s v="Stim3_Set2"/>
    <m/>
    <m/>
    <x v="0"/>
    <n v="0"/>
    <x v="0"/>
    <n v="1"/>
  </r>
  <r>
    <n v="3"/>
    <n v="384"/>
    <n v="1"/>
    <x v="1"/>
    <x v="1"/>
    <s v="nontarget"/>
    <s v="Stim6_Set3"/>
    <m/>
    <s v="yes"/>
    <x v="1"/>
    <n v="1"/>
    <x v="0"/>
    <n v="1"/>
  </r>
  <r>
    <n v="3"/>
    <n v="385"/>
    <n v="1"/>
    <x v="1"/>
    <x v="2"/>
    <s v="repeat"/>
    <s v="Stim6_Set3"/>
    <m/>
    <s v="no"/>
    <x v="1"/>
    <n v="0"/>
    <x v="0"/>
    <n v="0"/>
  </r>
  <r>
    <n v="3"/>
    <n v="386"/>
    <n v="2"/>
    <x v="0"/>
    <x v="0"/>
    <s v="filler"/>
    <s v="Stim1_Set2"/>
    <m/>
    <m/>
    <x v="0"/>
    <n v="0"/>
    <x v="1"/>
    <n v="0"/>
  </r>
  <r>
    <n v="3"/>
    <n v="387"/>
    <n v="1"/>
    <x v="1"/>
    <x v="1"/>
    <s v="nontarget"/>
    <s v="Stim4_Set3"/>
    <m/>
    <s v="yes"/>
    <x v="0"/>
    <n v="1"/>
    <x v="0"/>
    <n v="1"/>
  </r>
  <r>
    <n v="3"/>
    <n v="388"/>
    <n v="1"/>
    <x v="1"/>
    <x v="2"/>
    <s v="repeat"/>
    <s v="Stim4_Set3"/>
    <m/>
    <s v="no"/>
    <x v="1"/>
    <n v="0"/>
    <x v="0"/>
    <n v="0"/>
  </r>
  <r>
    <n v="4"/>
    <n v="389"/>
    <n v="1"/>
    <x v="1"/>
    <x v="0"/>
    <s v="filler"/>
    <s v="Stim1_Set3"/>
    <m/>
    <m/>
    <x v="1"/>
    <n v="0"/>
    <x v="1"/>
    <n v="0"/>
  </r>
  <r>
    <n v="4"/>
    <n v="390"/>
    <n v="2"/>
    <x v="0"/>
    <x v="0"/>
    <s v="filler"/>
    <s v="Stim5_Set3"/>
    <m/>
    <s v="yes"/>
    <x v="0"/>
    <n v="0"/>
    <x v="0"/>
    <n v="1"/>
  </r>
  <r>
    <n v="4"/>
    <n v="391"/>
    <n v="2"/>
    <x v="0"/>
    <x v="0"/>
    <s v="filler"/>
    <s v="Stim8_Set3"/>
    <m/>
    <s v="yes"/>
    <x v="1"/>
    <n v="0"/>
    <x v="0"/>
    <n v="1"/>
  </r>
  <r>
    <n v="4"/>
    <n v="392"/>
    <n v="1"/>
    <x v="1"/>
    <x v="1"/>
    <s v="nontarget"/>
    <s v="Stim6_Set4"/>
    <m/>
    <s v="yes"/>
    <x v="0"/>
    <n v="1"/>
    <x v="0"/>
    <n v="1"/>
  </r>
  <r>
    <n v="4"/>
    <n v="393"/>
    <n v="1"/>
    <x v="1"/>
    <x v="2"/>
    <s v="repeat"/>
    <s v="Stim6_Set4"/>
    <m/>
    <s v="no"/>
    <x v="1"/>
    <n v="0"/>
    <x v="0"/>
    <n v="0"/>
  </r>
  <r>
    <n v="4"/>
    <n v="394"/>
    <n v="1"/>
    <x v="1"/>
    <x v="1"/>
    <s v="nontarget"/>
    <s v="Stim3_Set4"/>
    <m/>
    <s v="yes"/>
    <x v="1"/>
    <n v="1"/>
    <x v="1"/>
    <n v="0"/>
  </r>
  <r>
    <n v="4"/>
    <n v="395"/>
    <n v="2"/>
    <x v="0"/>
    <x v="2"/>
    <s v="switch"/>
    <s v="Stim3_Set4"/>
    <m/>
    <s v="no"/>
    <x v="0"/>
    <n v="0"/>
    <x v="0"/>
    <n v="0"/>
  </r>
  <r>
    <n v="4"/>
    <n v="396"/>
    <n v="1"/>
    <x v="1"/>
    <x v="0"/>
    <s v="filler"/>
    <s v="Stim7_Set3"/>
    <m/>
    <m/>
    <x v="0"/>
    <n v="0"/>
    <x v="1"/>
    <n v="0"/>
  </r>
  <r>
    <n v="4"/>
    <n v="397"/>
    <n v="2"/>
    <x v="0"/>
    <x v="1"/>
    <s v="nontarget"/>
    <s v="Stim5_Set4"/>
    <m/>
    <s v="yes"/>
    <x v="0"/>
    <n v="1"/>
    <x v="0"/>
    <n v="1"/>
  </r>
  <r>
    <n v="4"/>
    <n v="398"/>
    <n v="2"/>
    <x v="0"/>
    <x v="2"/>
    <s v="repeat"/>
    <s v="Stim5_Set4"/>
    <m/>
    <s v="no"/>
    <x v="1"/>
    <n v="0"/>
    <x v="0"/>
    <n v="0"/>
  </r>
  <r>
    <n v="4"/>
    <n v="399"/>
    <n v="2"/>
    <x v="0"/>
    <x v="1"/>
    <s v="nontarget"/>
    <s v="Stim1_Set4"/>
    <m/>
    <s v="yes"/>
    <x v="1"/>
    <n v="1"/>
    <x v="1"/>
    <n v="0"/>
  </r>
  <r>
    <n v="4"/>
    <n v="400"/>
    <n v="1"/>
    <x v="1"/>
    <x v="2"/>
    <s v="switch"/>
    <s v="Stim1_Set4"/>
    <m/>
    <s v="no"/>
    <x v="0"/>
    <n v="0"/>
    <x v="0"/>
    <n v="0"/>
  </r>
  <r>
    <n v="4"/>
    <n v="401"/>
    <n v="2"/>
    <x v="0"/>
    <x v="0"/>
    <s v="filler"/>
    <s v="Stim3_Set3"/>
    <m/>
    <m/>
    <x v="0"/>
    <n v="0"/>
    <x v="1"/>
    <n v="0"/>
  </r>
  <r>
    <n v="4"/>
    <n v="402"/>
    <n v="1"/>
    <x v="1"/>
    <x v="1"/>
    <s v="nontarget"/>
    <s v="Stim4_Set4"/>
    <m/>
    <s v="yes"/>
    <x v="0"/>
    <n v="1"/>
    <x v="0"/>
    <n v="1"/>
  </r>
  <r>
    <n v="4"/>
    <n v="403"/>
    <n v="2"/>
    <x v="0"/>
    <x v="2"/>
    <s v="switch"/>
    <s v="Stim4_Set4"/>
    <m/>
    <s v="no"/>
    <x v="0"/>
    <n v="0"/>
    <x v="0"/>
    <n v="0"/>
  </r>
  <r>
    <n v="4"/>
    <n v="404"/>
    <n v="1"/>
    <x v="1"/>
    <x v="0"/>
    <s v="filler"/>
    <m/>
    <s v="here"/>
    <m/>
    <x v="0"/>
    <n v="0"/>
    <x v="1"/>
    <n v="0"/>
  </r>
  <r>
    <n v="4"/>
    <n v="405"/>
    <n v="2"/>
    <x v="0"/>
    <x v="0"/>
    <s v="filler"/>
    <s v="Stim2_Set3"/>
    <m/>
    <s v="yes"/>
    <x v="0"/>
    <n v="0"/>
    <x v="0"/>
    <n v="1"/>
  </r>
  <r>
    <n v="4"/>
    <n v="406"/>
    <n v="2"/>
    <x v="0"/>
    <x v="1"/>
    <s v="nontarget"/>
    <s v="Stim7_Set4"/>
    <m/>
    <s v="yes"/>
    <x v="1"/>
    <n v="1"/>
    <x v="0"/>
    <n v="1"/>
  </r>
  <r>
    <n v="4"/>
    <n v="407"/>
    <n v="2"/>
    <x v="0"/>
    <x v="2"/>
    <s v="repeat"/>
    <s v="Stim7_Set4"/>
    <m/>
    <s v="no"/>
    <x v="1"/>
    <n v="0"/>
    <x v="0"/>
    <n v="0"/>
  </r>
  <r>
    <n v="4"/>
    <n v="408"/>
    <n v="1"/>
    <x v="1"/>
    <x v="0"/>
    <s v="filler"/>
    <s v="Stim8_Set3"/>
    <m/>
    <m/>
    <x v="0"/>
    <n v="0"/>
    <x v="1"/>
    <n v="0"/>
  </r>
  <r>
    <n v="4"/>
    <n v="409"/>
    <n v="2"/>
    <x v="0"/>
    <x v="0"/>
    <s v="filler"/>
    <s v="Stim6_Set3"/>
    <m/>
    <s v="yes"/>
    <x v="0"/>
    <n v="0"/>
    <x v="0"/>
    <n v="1"/>
  </r>
  <r>
    <n v="4"/>
    <n v="410"/>
    <n v="2"/>
    <x v="0"/>
    <x v="1"/>
    <s v="nontarget"/>
    <s v="Stim8_Set4"/>
    <m/>
    <s v="yes"/>
    <x v="1"/>
    <n v="1"/>
    <x v="0"/>
    <n v="1"/>
  </r>
  <r>
    <n v="4"/>
    <n v="411"/>
    <n v="1"/>
    <x v="1"/>
    <x v="2"/>
    <s v="switch"/>
    <s v="Stim8_Set4"/>
    <m/>
    <s v="no"/>
    <x v="0"/>
    <n v="0"/>
    <x v="0"/>
    <n v="0"/>
  </r>
  <r>
    <n v="4"/>
    <n v="412"/>
    <n v="2"/>
    <x v="0"/>
    <x v="0"/>
    <s v="filler"/>
    <m/>
    <s v="here"/>
    <m/>
    <x v="0"/>
    <n v="0"/>
    <x v="1"/>
    <n v="0"/>
  </r>
  <r>
    <n v="4"/>
    <n v="413"/>
    <n v="1"/>
    <x v="1"/>
    <x v="0"/>
    <s v="filler"/>
    <s v="Stim4_Set3"/>
    <m/>
    <m/>
    <x v="0"/>
    <n v="0"/>
    <x v="0"/>
    <n v="1"/>
  </r>
  <r>
    <n v="4"/>
    <n v="414"/>
    <n v="1"/>
    <x v="1"/>
    <x v="1"/>
    <s v="nontarget"/>
    <s v="Stim2_Set4"/>
    <m/>
    <s v="yes"/>
    <x v="1"/>
    <n v="1"/>
    <x v="0"/>
    <n v="1"/>
  </r>
  <r>
    <n v="4"/>
    <n v="415"/>
    <n v="1"/>
    <x v="1"/>
    <x v="2"/>
    <s v="repeat"/>
    <s v="Stim2_Set4"/>
    <m/>
    <s v="no"/>
    <x v="1"/>
    <n v="0"/>
    <x v="0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5">
  <r>
    <n v="1"/>
    <n v="1"/>
    <n v="2"/>
    <x v="0"/>
    <s v="F"/>
    <s v="filler"/>
    <m/>
    <m/>
    <s v="yes"/>
    <n v="0"/>
    <n v="0"/>
    <n v="0"/>
    <n v="0"/>
  </r>
  <r>
    <n v="1"/>
    <n v="2"/>
    <n v="2"/>
    <x v="0"/>
    <s v="NT"/>
    <s v="nontarget"/>
    <s v="Stim1_Set1"/>
    <m/>
    <s v="yes"/>
    <n v="1"/>
    <n v="1"/>
    <n v="0"/>
    <n v="1"/>
  </r>
  <r>
    <n v="1"/>
    <n v="3"/>
    <n v="2"/>
    <x v="0"/>
    <s v="T"/>
    <s v="repeat"/>
    <s v="Stim1_Set1"/>
    <m/>
    <s v="no"/>
    <n v="1"/>
    <n v="0"/>
    <n v="0"/>
    <n v="0"/>
  </r>
  <r>
    <n v="1"/>
    <n v="4"/>
    <n v="1"/>
    <x v="1"/>
    <s v="F"/>
    <s v="filler"/>
    <s v="Stim1_Set4"/>
    <m/>
    <m/>
    <n v="0"/>
    <n v="0"/>
    <n v="1"/>
    <n v="0"/>
  </r>
  <r>
    <n v="1"/>
    <n v="5"/>
    <n v="2"/>
    <x v="0"/>
    <s v="NT"/>
    <s v="nontarget"/>
    <s v="Stim2_Set1"/>
    <m/>
    <s v="yes"/>
    <n v="0"/>
    <n v="1"/>
    <n v="0"/>
    <n v="1"/>
  </r>
  <r>
    <n v="1"/>
    <n v="6"/>
    <n v="2"/>
    <x v="0"/>
    <s v="T"/>
    <s v="repeat"/>
    <s v="Stim2_Set1"/>
    <m/>
    <s v="no"/>
    <n v="1"/>
    <n v="0"/>
    <n v="0"/>
    <n v="0"/>
  </r>
  <r>
    <n v="1"/>
    <n v="7"/>
    <n v="1"/>
    <x v="1"/>
    <s v="F"/>
    <s v="filler"/>
    <s v="Stim2_Set4"/>
    <m/>
    <m/>
    <n v="0"/>
    <n v="0"/>
    <n v="1"/>
    <n v="0"/>
  </r>
  <r>
    <n v="1"/>
    <m/>
    <n v="1"/>
    <x v="1"/>
    <s v="F"/>
    <s v="filler"/>
    <s v="Stim6_Set4"/>
    <m/>
    <s v="yes"/>
    <n v="1"/>
    <n v="0"/>
    <n v="0"/>
    <n v="1"/>
  </r>
  <r>
    <n v="1"/>
    <n v="8"/>
    <n v="2"/>
    <x v="0"/>
    <s v="NT"/>
    <s v="nontarget"/>
    <s v="Stim3_Set1"/>
    <m/>
    <s v="yes"/>
    <n v="0"/>
    <n v="1"/>
    <n v="0"/>
    <n v="1"/>
  </r>
  <r>
    <n v="1"/>
    <n v="9"/>
    <n v="1"/>
    <x v="1"/>
    <s v="T"/>
    <s v="switch"/>
    <s v="Stim3_Set1"/>
    <m/>
    <s v="no"/>
    <n v="0"/>
    <n v="0"/>
    <n v="0"/>
    <n v="0"/>
  </r>
  <r>
    <n v="1"/>
    <n v="10"/>
    <n v="2"/>
    <x v="0"/>
    <s v="F"/>
    <s v="filler"/>
    <s v="Stim5_Set4"/>
    <m/>
    <m/>
    <n v="0"/>
    <n v="0"/>
    <n v="1"/>
    <n v="0"/>
  </r>
  <r>
    <n v="1"/>
    <n v="11"/>
    <n v="1"/>
    <x v="1"/>
    <s v="NT"/>
    <s v="nontarget"/>
    <s v="Stim4_Set1"/>
    <m/>
    <s v="yes"/>
    <n v="0"/>
    <n v="1"/>
    <n v="0"/>
    <n v="1"/>
  </r>
  <r>
    <n v="1"/>
    <n v="12"/>
    <n v="2"/>
    <x v="0"/>
    <s v="T"/>
    <s v="switch"/>
    <s v="Stim4_Set1"/>
    <m/>
    <s v="no"/>
    <n v="0"/>
    <n v="0"/>
    <n v="0"/>
    <n v="0"/>
  </r>
  <r>
    <n v="1"/>
    <n v="13"/>
    <n v="2"/>
    <x v="0"/>
    <s v="F"/>
    <s v="filler"/>
    <s v="Stim3_Set4"/>
    <m/>
    <m/>
    <n v="1"/>
    <n v="0"/>
    <n v="1"/>
    <n v="0"/>
  </r>
  <r>
    <n v="1"/>
    <n v="14"/>
    <n v="2"/>
    <x v="0"/>
    <s v="NT"/>
    <s v="nontarget"/>
    <s v="Stim5_Set1"/>
    <m/>
    <s v="yes"/>
    <n v="1"/>
    <n v="1"/>
    <n v="0"/>
    <n v="1"/>
  </r>
  <r>
    <n v="1"/>
    <n v="15"/>
    <n v="1"/>
    <x v="1"/>
    <s v="T"/>
    <s v="switch"/>
    <s v="Stim5_Set1"/>
    <m/>
    <s v="no"/>
    <n v="0"/>
    <n v="0"/>
    <n v="0"/>
    <n v="0"/>
  </r>
  <r>
    <n v="1"/>
    <n v="16"/>
    <n v="2"/>
    <x v="0"/>
    <s v="F"/>
    <s v="filler"/>
    <s v="Stim4_Set4"/>
    <m/>
    <m/>
    <n v="0"/>
    <n v="0"/>
    <n v="1"/>
    <n v="0"/>
  </r>
  <r>
    <n v="1"/>
    <n v="17"/>
    <n v="1"/>
    <x v="1"/>
    <s v="NT"/>
    <s v="nontarget"/>
    <s v="Stim6_Set1"/>
    <m/>
    <s v="yes"/>
    <n v="0"/>
    <n v="1"/>
    <n v="0"/>
    <n v="1"/>
  </r>
  <r>
    <n v="1"/>
    <n v="18"/>
    <n v="1"/>
    <x v="1"/>
    <s v="T"/>
    <s v="repeat"/>
    <s v="Stim6_Set1"/>
    <m/>
    <s v="no"/>
    <n v="1"/>
    <n v="0"/>
    <n v="0"/>
    <n v="0"/>
  </r>
  <r>
    <n v="1"/>
    <n v="19"/>
    <n v="1"/>
    <x v="1"/>
    <s v="F"/>
    <s v="filler"/>
    <s v="Stim7_Set4"/>
    <m/>
    <m/>
    <n v="1"/>
    <n v="0"/>
    <n v="1"/>
    <n v="0"/>
  </r>
  <r>
    <n v="1"/>
    <n v="20"/>
    <n v="1"/>
    <x v="1"/>
    <s v="NT"/>
    <s v="nontarget"/>
    <s v="Stim7_Set1"/>
    <m/>
    <s v="yes"/>
    <n v="1"/>
    <n v="1"/>
    <n v="0"/>
    <n v="1"/>
  </r>
  <r>
    <n v="1"/>
    <n v="21"/>
    <n v="1"/>
    <x v="1"/>
    <s v="T"/>
    <s v="repeat"/>
    <s v="Stim7_Set1"/>
    <m/>
    <s v="no"/>
    <n v="1"/>
    <n v="0"/>
    <n v="0"/>
    <n v="0"/>
  </r>
  <r>
    <n v="1"/>
    <n v="22"/>
    <n v="2"/>
    <x v="0"/>
    <s v="F"/>
    <s v="filler"/>
    <s v="Stim6_Set4"/>
    <m/>
    <m/>
    <n v="0"/>
    <n v="0"/>
    <n v="1"/>
    <n v="0"/>
  </r>
  <r>
    <n v="1"/>
    <n v="23"/>
    <n v="2"/>
    <x v="0"/>
    <s v="F"/>
    <s v="filler"/>
    <s v="Stim2_Set4"/>
    <m/>
    <s v="yes"/>
    <n v="1"/>
    <n v="0"/>
    <n v="0"/>
    <n v="1"/>
  </r>
  <r>
    <n v="1"/>
    <n v="24"/>
    <n v="1"/>
    <x v="1"/>
    <s v="F"/>
    <s v="filler"/>
    <s v="Stim8_Set4"/>
    <m/>
    <s v="yes"/>
    <n v="0"/>
    <n v="0"/>
    <n v="0"/>
    <n v="1"/>
  </r>
  <r>
    <n v="1"/>
    <n v="25"/>
    <n v="1"/>
    <x v="1"/>
    <s v="NT"/>
    <s v="nontarget"/>
    <s v="Stim8_Set1"/>
    <m/>
    <s v="yes"/>
    <n v="1"/>
    <n v="1"/>
    <n v="0"/>
    <n v="1"/>
  </r>
  <r>
    <n v="1"/>
    <n v="26"/>
    <n v="2"/>
    <x v="0"/>
    <s v="T"/>
    <s v="switch"/>
    <s v="Stim8_Set1"/>
    <m/>
    <s v="no"/>
    <n v="0"/>
    <n v="0"/>
    <n v="0"/>
    <n v="0"/>
  </r>
  <r>
    <n v="2"/>
    <n v="27"/>
    <n v="2"/>
    <x v="0"/>
    <s v="F"/>
    <s v="filler"/>
    <s v="Stim1_Set1"/>
    <m/>
    <m/>
    <n v="1"/>
    <n v="0"/>
    <n v="1"/>
    <n v="0"/>
  </r>
  <r>
    <n v="2"/>
    <n v="28"/>
    <n v="1"/>
    <x v="1"/>
    <s v="NT"/>
    <s v="nontarget"/>
    <s v="Stim1_Set2"/>
    <m/>
    <s v="yes"/>
    <n v="0"/>
    <n v="1"/>
    <n v="0"/>
    <n v="1"/>
  </r>
  <r>
    <n v="2"/>
    <n v="29"/>
    <n v="1"/>
    <x v="1"/>
    <s v="T"/>
    <s v="repeat"/>
    <s v="Stim1_Set2"/>
    <m/>
    <s v="no"/>
    <n v="1"/>
    <n v="0"/>
    <n v="0"/>
    <n v="0"/>
  </r>
  <r>
    <n v="2"/>
    <n v="30"/>
    <n v="2"/>
    <x v="0"/>
    <s v="F"/>
    <s v="filler"/>
    <s v="Stim2_Set1"/>
    <m/>
    <m/>
    <n v="0"/>
    <n v="0"/>
    <n v="1"/>
    <n v="0"/>
  </r>
  <r>
    <n v="2"/>
    <n v="31"/>
    <n v="1"/>
    <x v="1"/>
    <s v="NT"/>
    <s v="nontarget"/>
    <s v="Stim2_Set2"/>
    <m/>
    <s v="yes"/>
    <n v="0"/>
    <n v="1"/>
    <n v="0"/>
    <n v="1"/>
  </r>
  <r>
    <n v="2"/>
    <n v="32"/>
    <n v="1"/>
    <x v="1"/>
    <s v="T"/>
    <s v="repeat"/>
    <s v="Stim2_Set2"/>
    <m/>
    <s v="no"/>
    <n v="1"/>
    <n v="0"/>
    <n v="0"/>
    <n v="0"/>
  </r>
  <r>
    <n v="2"/>
    <n v="33"/>
    <n v="2"/>
    <x v="0"/>
    <s v="F"/>
    <s v="filler"/>
    <s v="Stim4_Set1"/>
    <m/>
    <m/>
    <n v="0"/>
    <n v="0"/>
    <n v="1"/>
    <n v="0"/>
  </r>
  <r>
    <n v="2"/>
    <n v="34"/>
    <n v="2"/>
    <x v="0"/>
    <s v="F"/>
    <s v="filler"/>
    <s v="Stim3_Set1"/>
    <m/>
    <s v="yes"/>
    <n v="1"/>
    <n v="0"/>
    <n v="0"/>
    <n v="1"/>
  </r>
  <r>
    <n v="2"/>
    <n v="35"/>
    <n v="1"/>
    <x v="1"/>
    <s v="NT"/>
    <s v="nontarget"/>
    <s v="Stim3_Set2"/>
    <m/>
    <s v="yes"/>
    <n v="0"/>
    <n v="1"/>
    <n v="0"/>
    <n v="1"/>
  </r>
  <r>
    <n v="2"/>
    <n v="36"/>
    <n v="2"/>
    <x v="0"/>
    <s v="T"/>
    <s v="switch"/>
    <s v="Stim3_Set2"/>
    <m/>
    <s v="no"/>
    <n v="0"/>
    <n v="0"/>
    <n v="0"/>
    <n v="0"/>
  </r>
  <r>
    <n v="2"/>
    <n v="37"/>
    <n v="2"/>
    <x v="0"/>
    <s v="NT"/>
    <s v="nontarget"/>
    <s v="Stim4_Set2"/>
    <m/>
    <s v="yes"/>
    <n v="1"/>
    <n v="1"/>
    <n v="1"/>
    <n v="0"/>
  </r>
  <r>
    <n v="2"/>
    <n v="38"/>
    <n v="1"/>
    <x v="1"/>
    <s v="T"/>
    <s v="switch"/>
    <s v="Stim4_Set2"/>
    <m/>
    <s v="no"/>
    <n v="0"/>
    <n v="0"/>
    <n v="0"/>
    <n v="0"/>
  </r>
  <r>
    <n v="2"/>
    <n v="39"/>
    <n v="1"/>
    <x v="1"/>
    <s v="F"/>
    <s v="filler"/>
    <s v="Stim3_Set1"/>
    <m/>
    <m/>
    <n v="1"/>
    <n v="0"/>
    <n v="1"/>
    <n v="0"/>
  </r>
  <r>
    <n v="2"/>
    <n v="40"/>
    <n v="1"/>
    <x v="1"/>
    <s v="NT"/>
    <s v="nontarget"/>
    <s v="Stim5_Set2"/>
    <m/>
    <s v="yes"/>
    <n v="1"/>
    <n v="1"/>
    <n v="0"/>
    <n v="1"/>
  </r>
  <r>
    <n v="2"/>
    <n v="41"/>
    <n v="2"/>
    <x v="0"/>
    <s v="T"/>
    <s v="switch"/>
    <s v="Stim5_Set2"/>
    <m/>
    <s v="no"/>
    <n v="0"/>
    <n v="0"/>
    <n v="0"/>
    <n v="0"/>
  </r>
  <r>
    <n v="2"/>
    <n v="42"/>
    <n v="1"/>
    <x v="1"/>
    <s v="F"/>
    <s v="filler"/>
    <s v="Stim7_Set1"/>
    <m/>
    <m/>
    <n v="0"/>
    <n v="0"/>
    <n v="1"/>
    <n v="0"/>
  </r>
  <r>
    <n v="2"/>
    <n v="43"/>
    <n v="2"/>
    <x v="0"/>
    <s v="F"/>
    <s v="filler"/>
    <s v="Stim5_Set1"/>
    <m/>
    <s v="yes"/>
    <n v="0"/>
    <n v="0"/>
    <n v="0"/>
    <n v="1"/>
  </r>
  <r>
    <n v="2"/>
    <n v="44"/>
    <n v="2"/>
    <x v="0"/>
    <s v="NT"/>
    <s v="nontarget"/>
    <s v="Stim6_Set2"/>
    <m/>
    <s v="yes"/>
    <n v="1"/>
    <n v="1"/>
    <n v="0"/>
    <n v="1"/>
  </r>
  <r>
    <n v="2"/>
    <n v="45"/>
    <n v="2"/>
    <x v="0"/>
    <s v="T"/>
    <s v="repeat"/>
    <s v="Stim6_Set2"/>
    <m/>
    <s v="no"/>
    <n v="1"/>
    <n v="0"/>
    <n v="0"/>
    <n v="0"/>
  </r>
  <r>
    <n v="2"/>
    <n v="46"/>
    <n v="1"/>
    <x v="1"/>
    <s v="F"/>
    <s v="filler"/>
    <s v="Stim6_Set1"/>
    <m/>
    <m/>
    <n v="0"/>
    <n v="0"/>
    <n v="1"/>
    <n v="0"/>
  </r>
  <r>
    <n v="2"/>
    <n v="47"/>
    <n v="2"/>
    <x v="0"/>
    <s v="NT"/>
    <s v="nontarget"/>
    <s v="Stim7_Set2"/>
    <m/>
    <s v="yes"/>
    <n v="0"/>
    <n v="1"/>
    <n v="0"/>
    <n v="1"/>
  </r>
  <r>
    <n v="2"/>
    <n v="48"/>
    <n v="2"/>
    <x v="0"/>
    <s v="T"/>
    <s v="repeat"/>
    <s v="Stim7_Set2"/>
    <m/>
    <s v="no"/>
    <n v="1"/>
    <n v="0"/>
    <n v="0"/>
    <n v="0"/>
  </r>
  <r>
    <n v="2"/>
    <n v="49"/>
    <n v="1"/>
    <x v="1"/>
    <s v="F"/>
    <s v="filler"/>
    <m/>
    <s v="here"/>
    <m/>
    <n v="0"/>
    <n v="0"/>
    <n v="1"/>
    <n v="0"/>
  </r>
  <r>
    <n v="2"/>
    <m/>
    <n v="1"/>
    <x v="1"/>
    <s v="F"/>
    <s v="filler"/>
    <s v="Stim5_Set1"/>
    <m/>
    <s v="yes"/>
    <n v="1"/>
    <n v="1"/>
    <n v="0"/>
    <n v="1"/>
  </r>
  <r>
    <n v="2"/>
    <n v="50"/>
    <n v="2"/>
    <x v="0"/>
    <s v="F"/>
    <s v="filler"/>
    <s v="Stim8_Set1"/>
    <m/>
    <s v="yes"/>
    <n v="0"/>
    <n v="0"/>
    <n v="0"/>
    <n v="1"/>
  </r>
  <r>
    <n v="2"/>
    <n v="51"/>
    <n v="2"/>
    <x v="0"/>
    <s v="NT"/>
    <s v="nontarget"/>
    <s v="Stim8_Set2"/>
    <m/>
    <s v="yes"/>
    <n v="1"/>
    <n v="1"/>
    <n v="0"/>
    <n v="1"/>
  </r>
  <r>
    <n v="2"/>
    <n v="52"/>
    <n v="1"/>
    <x v="1"/>
    <s v="T"/>
    <s v="switch"/>
    <s v="Stim8_Set2"/>
    <m/>
    <s v="no"/>
    <n v="0"/>
    <n v="0"/>
    <n v="0"/>
    <n v="0"/>
  </r>
  <r>
    <n v="3"/>
    <n v="53"/>
    <n v="1"/>
    <x v="1"/>
    <s v="NT"/>
    <s v="nontarget"/>
    <s v="Stim1_Set3"/>
    <m/>
    <s v="yes"/>
    <n v="1"/>
    <n v="1"/>
    <n v="1"/>
    <n v="0"/>
  </r>
  <r>
    <n v="3"/>
    <n v="54"/>
    <n v="2"/>
    <x v="0"/>
    <s v="T"/>
    <s v="switch"/>
    <s v="Stim1_Set3"/>
    <m/>
    <s v="no"/>
    <n v="0"/>
    <n v="0"/>
    <n v="0"/>
    <n v="0"/>
  </r>
  <r>
    <n v="3"/>
    <n v="55"/>
    <n v="2"/>
    <x v="0"/>
    <s v="F"/>
    <s v="filler"/>
    <m/>
    <s v="here"/>
    <m/>
    <n v="1"/>
    <n v="0"/>
    <n v="1"/>
    <n v="0"/>
  </r>
  <r>
    <n v="3"/>
    <n v="56"/>
    <n v="2"/>
    <x v="0"/>
    <s v="NT"/>
    <s v="nontarget"/>
    <s v="Stim2_Set3"/>
    <m/>
    <s v="yes"/>
    <n v="1"/>
    <n v="1"/>
    <n v="0"/>
    <n v="1"/>
  </r>
  <r>
    <n v="3"/>
    <n v="57"/>
    <n v="1"/>
    <x v="1"/>
    <s v="T"/>
    <s v="switch"/>
    <s v="Stim2_Set3"/>
    <m/>
    <s v="no"/>
    <n v="0"/>
    <n v="0"/>
    <n v="0"/>
    <n v="0"/>
  </r>
  <r>
    <n v="3"/>
    <n v="58"/>
    <n v="1"/>
    <x v="1"/>
    <s v="F"/>
    <s v="filler"/>
    <s v="Stim1_Set2"/>
    <m/>
    <m/>
    <n v="1"/>
    <n v="0"/>
    <n v="1"/>
    <n v="0"/>
  </r>
  <r>
    <n v="3"/>
    <n v="59"/>
    <n v="1"/>
    <x v="1"/>
    <s v="NT"/>
    <s v="nontarget"/>
    <s v="Stim3_Set3"/>
    <m/>
    <s v="yes"/>
    <n v="1"/>
    <n v="1"/>
    <n v="0"/>
    <n v="1"/>
  </r>
  <r>
    <n v="3"/>
    <n v="60"/>
    <n v="2"/>
    <x v="0"/>
    <s v="T"/>
    <s v="switch"/>
    <s v="Stim3_Set3"/>
    <m/>
    <s v="no"/>
    <n v="0"/>
    <n v="0"/>
    <n v="0"/>
    <n v="0"/>
  </r>
  <r>
    <n v="3"/>
    <n v="61"/>
    <n v="2"/>
    <x v="0"/>
    <s v="F"/>
    <s v="filler"/>
    <s v="Stim2_Set2"/>
    <m/>
    <m/>
    <n v="1"/>
    <n v="0"/>
    <n v="1"/>
    <n v="0"/>
  </r>
  <r>
    <n v="3"/>
    <n v="62"/>
    <n v="1"/>
    <x v="1"/>
    <s v="F"/>
    <s v="filler"/>
    <s v="Stim4_Set2"/>
    <m/>
    <s v="yes"/>
    <n v="0"/>
    <n v="0"/>
    <n v="0"/>
    <n v="1"/>
  </r>
  <r>
    <n v="3"/>
    <n v="63"/>
    <n v="2"/>
    <x v="0"/>
    <s v="NT"/>
    <s v="nontarget"/>
    <s v="Stim4_Set3"/>
    <m/>
    <s v="yes"/>
    <n v="0"/>
    <n v="1"/>
    <n v="0"/>
    <n v="1"/>
  </r>
  <r>
    <n v="3"/>
    <n v="64"/>
    <n v="2"/>
    <x v="0"/>
    <s v="T"/>
    <s v="repeat"/>
    <s v="Stim4_Set3"/>
    <m/>
    <s v="no"/>
    <n v="1"/>
    <n v="0"/>
    <n v="0"/>
    <n v="0"/>
  </r>
  <r>
    <n v="3"/>
    <n v="65"/>
    <n v="1"/>
    <x v="1"/>
    <s v="F"/>
    <s v="filler"/>
    <s v="Stim3_Set2"/>
    <m/>
    <m/>
    <n v="0"/>
    <n v="0"/>
    <n v="1"/>
    <n v="0"/>
  </r>
  <r>
    <n v="3"/>
    <n v="66"/>
    <n v="2"/>
    <x v="0"/>
    <s v="F"/>
    <s v="filler"/>
    <s v="Stim5_Set2"/>
    <m/>
    <s v="yes"/>
    <n v="0"/>
    <n v="0"/>
    <n v="0"/>
    <n v="1"/>
  </r>
  <r>
    <n v="3"/>
    <n v="67"/>
    <n v="2"/>
    <x v="0"/>
    <s v="NT"/>
    <s v="nontarget"/>
    <s v="Stim5_Set3"/>
    <m/>
    <s v="yes"/>
    <n v="1"/>
    <n v="1"/>
    <n v="0"/>
    <n v="1"/>
  </r>
  <r>
    <n v="3"/>
    <n v="68"/>
    <n v="2"/>
    <x v="0"/>
    <s v="T"/>
    <s v="repeat"/>
    <s v="Stim5_Set3"/>
    <m/>
    <s v="no"/>
    <n v="1"/>
    <n v="0"/>
    <n v="0"/>
    <n v="0"/>
  </r>
  <r>
    <n v="3"/>
    <n v="69"/>
    <n v="1"/>
    <x v="1"/>
    <s v="F"/>
    <s v="filler"/>
    <m/>
    <s v="here"/>
    <m/>
    <n v="0"/>
    <n v="0"/>
    <n v="1"/>
    <n v="0"/>
  </r>
  <r>
    <n v="3"/>
    <m/>
    <n v="1"/>
    <x v="1"/>
    <s v="F"/>
    <s v="filler"/>
    <s v="Stim2_Set2"/>
    <m/>
    <s v="yes"/>
    <n v="1"/>
    <n v="0"/>
    <n v="0"/>
    <n v="1"/>
  </r>
  <r>
    <n v="3"/>
    <n v="70"/>
    <n v="2"/>
    <x v="0"/>
    <s v="NT"/>
    <s v="nontarget"/>
    <s v="Stim6_Set3"/>
    <m/>
    <s v="yes"/>
    <n v="0"/>
    <n v="1"/>
    <n v="0"/>
    <n v="1"/>
  </r>
  <r>
    <n v="3"/>
    <n v="71"/>
    <n v="1"/>
    <x v="1"/>
    <s v="T"/>
    <s v="switch"/>
    <s v="Stim6_Set3"/>
    <m/>
    <s v="no"/>
    <n v="0"/>
    <n v="0"/>
    <n v="0"/>
    <n v="0"/>
  </r>
  <r>
    <n v="3"/>
    <n v="72"/>
    <n v="2"/>
    <x v="0"/>
    <s v="F"/>
    <s v="filler"/>
    <s v="Stim6_Set2"/>
    <m/>
    <m/>
    <n v="0"/>
    <n v="0"/>
    <n v="1"/>
    <n v="0"/>
  </r>
  <r>
    <n v="3"/>
    <n v="73"/>
    <n v="1"/>
    <x v="1"/>
    <s v="NT"/>
    <s v="nontarget"/>
    <s v="Stim7_Set3"/>
    <m/>
    <s v="yes"/>
    <n v="0"/>
    <n v="1"/>
    <n v="0"/>
    <n v="1"/>
  </r>
  <r>
    <n v="3"/>
    <n v="74"/>
    <n v="1"/>
    <x v="1"/>
    <s v="T"/>
    <s v="repeat"/>
    <s v="Stim7_Set3"/>
    <m/>
    <s v="no"/>
    <n v="1"/>
    <n v="0"/>
    <n v="0"/>
    <n v="0"/>
  </r>
  <r>
    <n v="3"/>
    <n v="75"/>
    <n v="2"/>
    <x v="0"/>
    <s v="F"/>
    <s v="filler"/>
    <s v="Stim7_Set2"/>
    <m/>
    <m/>
    <n v="0"/>
    <n v="0"/>
    <n v="1"/>
    <n v="0"/>
  </r>
  <r>
    <n v="3"/>
    <n v="76"/>
    <n v="1"/>
    <x v="1"/>
    <s v="F"/>
    <s v="filler"/>
    <s v="Stim8_Set2"/>
    <m/>
    <m/>
    <n v="0"/>
    <n v="0"/>
    <n v="0"/>
    <n v="1"/>
  </r>
  <r>
    <n v="3"/>
    <n v="77"/>
    <n v="1"/>
    <x v="1"/>
    <s v="NT"/>
    <s v="nontarget"/>
    <s v="Stim8_Set3"/>
    <m/>
    <s v="yes"/>
    <n v="1"/>
    <n v="1"/>
    <n v="0"/>
    <n v="1"/>
  </r>
  <r>
    <n v="3"/>
    <n v="78"/>
    <n v="1"/>
    <x v="1"/>
    <s v="T"/>
    <s v="repeat"/>
    <s v="Stim8_Set3"/>
    <m/>
    <s v="no"/>
    <n v="1"/>
    <n v="0"/>
    <n v="0"/>
    <n v="0"/>
  </r>
  <r>
    <n v="4"/>
    <n v="79"/>
    <n v="2"/>
    <x v="0"/>
    <s v="F"/>
    <s v="filler"/>
    <s v="Stim1_Set3"/>
    <m/>
    <m/>
    <n v="0"/>
    <n v="0"/>
    <n v="1"/>
    <n v="0"/>
  </r>
  <r>
    <n v="4"/>
    <n v="80"/>
    <n v="1"/>
    <x v="1"/>
    <s v="NT"/>
    <s v="nontarget"/>
    <s v="Stim1_Set4"/>
    <m/>
    <s v="yes"/>
    <n v="0"/>
    <n v="1"/>
    <n v="0"/>
    <n v="1"/>
  </r>
  <r>
    <n v="4"/>
    <n v="81"/>
    <n v="1"/>
    <x v="1"/>
    <s v="T"/>
    <s v="repeat"/>
    <s v="Stim1_Set4"/>
    <m/>
    <s v="no"/>
    <n v="1"/>
    <n v="0"/>
    <n v="0"/>
    <n v="0"/>
  </r>
  <r>
    <n v="4"/>
    <n v="82"/>
    <n v="1"/>
    <x v="1"/>
    <s v="NT"/>
    <s v="nontarget"/>
    <s v="Stim2_Set4"/>
    <m/>
    <s v="yes"/>
    <n v="1"/>
    <n v="1"/>
    <n v="1"/>
    <n v="0"/>
  </r>
  <r>
    <n v="4"/>
    <n v="83"/>
    <n v="2"/>
    <x v="0"/>
    <s v="T"/>
    <s v="switch"/>
    <s v="Stim2_Set4"/>
    <m/>
    <s v="no"/>
    <n v="0"/>
    <n v="0"/>
    <n v="0"/>
    <n v="0"/>
  </r>
  <r>
    <n v="4"/>
    <n v="84"/>
    <n v="2"/>
    <x v="0"/>
    <s v="F"/>
    <s v="filler"/>
    <s v="Stim3_Set3"/>
    <m/>
    <m/>
    <n v="1"/>
    <n v="0"/>
    <n v="1"/>
    <n v="0"/>
  </r>
  <r>
    <n v="4"/>
    <n v="85"/>
    <n v="1"/>
    <x v="1"/>
    <s v="F"/>
    <s v="filler"/>
    <s v="Stim2_Set3"/>
    <m/>
    <s v="yes"/>
    <n v="0"/>
    <n v="0"/>
    <n v="0"/>
    <n v="1"/>
  </r>
  <r>
    <n v="4"/>
    <n v="86"/>
    <n v="2"/>
    <x v="0"/>
    <s v="NT"/>
    <s v="nontarget"/>
    <s v="Stim3_Set4"/>
    <m/>
    <s v="yes"/>
    <n v="0"/>
    <n v="1"/>
    <n v="0"/>
    <n v="1"/>
  </r>
  <r>
    <n v="4"/>
    <n v="87"/>
    <n v="2"/>
    <x v="0"/>
    <s v="T"/>
    <s v="repeat"/>
    <s v="Stim3_Set4"/>
    <m/>
    <s v="no"/>
    <n v="1"/>
    <n v="0"/>
    <n v="0"/>
    <n v="0"/>
  </r>
  <r>
    <n v="4"/>
    <n v="88"/>
    <n v="2"/>
    <x v="0"/>
    <s v="NT"/>
    <s v="nontarget"/>
    <s v="Stim4_Set4"/>
    <m/>
    <s v="yes"/>
    <n v="1"/>
    <n v="1"/>
    <n v="1"/>
    <n v="0"/>
  </r>
  <r>
    <n v="4"/>
    <n v="89"/>
    <n v="1"/>
    <x v="1"/>
    <s v="T"/>
    <s v="switch"/>
    <s v="Stim4_Set4"/>
    <m/>
    <s v="no"/>
    <n v="0"/>
    <n v="0"/>
    <n v="0"/>
    <n v="0"/>
  </r>
  <r>
    <n v="4"/>
    <n v="90"/>
    <n v="2"/>
    <x v="0"/>
    <s v="F"/>
    <s v="filler"/>
    <s v="Stim4_Set3"/>
    <m/>
    <m/>
    <n v="0"/>
    <n v="0"/>
    <n v="1"/>
    <n v="0"/>
  </r>
  <r>
    <n v="4"/>
    <m/>
    <n v="2"/>
    <x v="0"/>
    <s v="F"/>
    <s v="filler"/>
    <s v="Stim6_Set3"/>
    <m/>
    <s v="yes"/>
    <n v="1"/>
    <n v="0"/>
    <n v="0"/>
    <n v="1"/>
  </r>
  <r>
    <n v="4"/>
    <n v="91"/>
    <n v="1"/>
    <x v="1"/>
    <s v="F"/>
    <s v="filler"/>
    <s v="Stim5_Set3"/>
    <m/>
    <s v="yes"/>
    <n v="0"/>
    <n v="0"/>
    <n v="0"/>
    <n v="1"/>
  </r>
  <r>
    <n v="4"/>
    <n v="92"/>
    <n v="1"/>
    <x v="1"/>
    <s v="NT"/>
    <s v="nontarget"/>
    <s v="Stim5_Set4"/>
    <m/>
    <s v="yes"/>
    <n v="1"/>
    <n v="1"/>
    <n v="0"/>
    <n v="1"/>
  </r>
  <r>
    <n v="4"/>
    <n v="93"/>
    <n v="2"/>
    <x v="0"/>
    <s v="T"/>
    <s v="switch"/>
    <s v="Stim5_Set4"/>
    <m/>
    <s v="no"/>
    <n v="0"/>
    <n v="0"/>
    <n v="0"/>
    <n v="0"/>
  </r>
  <r>
    <n v="4"/>
    <n v="94"/>
    <n v="2"/>
    <x v="0"/>
    <s v="NT"/>
    <s v="nontarget"/>
    <s v="Stim6_Set4"/>
    <m/>
    <s v="yes"/>
    <n v="1"/>
    <n v="1"/>
    <n v="1"/>
    <n v="0"/>
  </r>
  <r>
    <n v="4"/>
    <n v="95"/>
    <n v="2"/>
    <x v="0"/>
    <s v="T"/>
    <s v="repeat"/>
    <s v="Stim6_Set4"/>
    <m/>
    <s v="no"/>
    <n v="1"/>
    <n v="0"/>
    <n v="0"/>
    <n v="0"/>
  </r>
  <r>
    <n v="4"/>
    <n v="96"/>
    <n v="1"/>
    <x v="1"/>
    <s v="F"/>
    <s v="filler"/>
    <m/>
    <s v="here"/>
    <m/>
    <n v="0"/>
    <n v="0"/>
    <n v="1"/>
    <n v="0"/>
  </r>
  <r>
    <n v="4"/>
    <n v="97"/>
    <n v="2"/>
    <x v="0"/>
    <s v="F"/>
    <s v="filler"/>
    <s v="Stim7_Set3"/>
    <m/>
    <s v="yes"/>
    <n v="0"/>
    <n v="0"/>
    <n v="0"/>
    <n v="1"/>
  </r>
  <r>
    <n v="4"/>
    <n v="98"/>
    <n v="2"/>
    <x v="0"/>
    <s v="NT"/>
    <s v="nontarget"/>
    <s v="Stim7_Set4"/>
    <m/>
    <s v="yes"/>
    <n v="1"/>
    <n v="1"/>
    <n v="0"/>
    <n v="1"/>
  </r>
  <r>
    <n v="4"/>
    <n v="99"/>
    <n v="1"/>
    <x v="1"/>
    <s v="T"/>
    <s v="switch"/>
    <s v="Stim7_Set4"/>
    <m/>
    <s v="no"/>
    <n v="0"/>
    <n v="0"/>
    <n v="0"/>
    <n v="0"/>
  </r>
  <r>
    <n v="4"/>
    <n v="100"/>
    <n v="1"/>
    <x v="1"/>
    <s v="NT"/>
    <s v="nontarget"/>
    <s v="Stim8_Set4"/>
    <m/>
    <s v="yes"/>
    <n v="1"/>
    <n v="1"/>
    <n v="1"/>
    <n v="0"/>
  </r>
  <r>
    <n v="4"/>
    <n v="101"/>
    <n v="1"/>
    <x v="1"/>
    <s v="T"/>
    <s v="repeat"/>
    <s v="Stim8_Set4"/>
    <m/>
    <s v="no"/>
    <n v="1"/>
    <n v="0"/>
    <n v="0"/>
    <n v="0"/>
  </r>
  <r>
    <n v="4"/>
    <n v="102"/>
    <n v="1"/>
    <x v="0"/>
    <s v="F"/>
    <s v="filler"/>
    <s v="Stim8_Set3"/>
    <m/>
    <m/>
    <n v="0"/>
    <n v="0"/>
    <n v="1"/>
    <n v="0"/>
  </r>
  <r>
    <n v="4"/>
    <n v="103"/>
    <n v="1"/>
    <x v="1"/>
    <s v="F"/>
    <s v="filler"/>
    <s v="Stim6_Set3"/>
    <m/>
    <s v="yes"/>
    <n v="0"/>
    <n v="0"/>
    <n v="0"/>
    <n v="1"/>
  </r>
  <r>
    <s v="BREAK"/>
    <n v="104"/>
    <m/>
    <x v="2"/>
    <s v="break"/>
    <m/>
    <m/>
    <m/>
    <s v="no"/>
    <n v="0"/>
    <n v="0"/>
    <n v="0"/>
    <n v="1"/>
  </r>
  <r>
    <n v="1"/>
    <n v="105"/>
    <n v="2"/>
    <x v="0"/>
    <s v="NT"/>
    <s v="nontarget"/>
    <s v="Stim4_Set1"/>
    <m/>
    <s v="yes"/>
    <n v="0"/>
    <n v="1"/>
    <n v="0"/>
    <n v="0"/>
  </r>
  <r>
    <n v="1"/>
    <n v="106"/>
    <n v="2"/>
    <x v="0"/>
    <s v="T"/>
    <s v="repeat"/>
    <s v="Stim4_Set1"/>
    <m/>
    <s v="no"/>
    <n v="1"/>
    <n v="0"/>
    <n v="0"/>
    <n v="0"/>
  </r>
  <r>
    <n v="1"/>
    <n v="107"/>
    <n v="1"/>
    <x v="1"/>
    <s v="F"/>
    <s v="filler"/>
    <s v="Stim3_Set4"/>
    <m/>
    <m/>
    <n v="0"/>
    <n v="0"/>
    <n v="1"/>
    <n v="0"/>
  </r>
  <r>
    <n v="1"/>
    <n v="108"/>
    <n v="2"/>
    <x v="0"/>
    <s v="NT"/>
    <s v="nontarget"/>
    <s v="Stim3_Set1"/>
    <m/>
    <s v="yes"/>
    <n v="0"/>
    <n v="1"/>
    <n v="0"/>
    <n v="1"/>
  </r>
  <r>
    <n v="1"/>
    <n v="109"/>
    <n v="2"/>
    <x v="0"/>
    <s v="T"/>
    <s v="repeat"/>
    <s v="Stim3_Set1"/>
    <m/>
    <s v="no"/>
    <n v="1"/>
    <n v="0"/>
    <n v="0"/>
    <n v="0"/>
  </r>
  <r>
    <n v="1"/>
    <n v="110"/>
    <n v="1"/>
    <x v="1"/>
    <s v="F"/>
    <s v="filler"/>
    <m/>
    <s v="here"/>
    <m/>
    <n v="0"/>
    <n v="0"/>
    <n v="1"/>
    <n v="0"/>
  </r>
  <r>
    <n v="1"/>
    <n v="111"/>
    <n v="2"/>
    <x v="0"/>
    <s v="F"/>
    <s v="filler"/>
    <s v="Stim8_Set4"/>
    <m/>
    <s v="yes"/>
    <n v="0"/>
    <n v="0"/>
    <n v="0"/>
    <n v="1"/>
  </r>
  <r>
    <n v="1"/>
    <n v="112"/>
    <n v="2"/>
    <x v="0"/>
    <s v="NT"/>
    <s v="nontarget"/>
    <s v="Stim6_Set1"/>
    <m/>
    <s v="yes"/>
    <n v="1"/>
    <n v="1"/>
    <n v="0"/>
    <n v="1"/>
  </r>
  <r>
    <n v="1"/>
    <n v="113"/>
    <n v="1"/>
    <x v="1"/>
    <s v="T"/>
    <s v="switch"/>
    <s v="Stim6_Set1"/>
    <m/>
    <s v="no"/>
    <n v="0"/>
    <n v="0"/>
    <n v="0"/>
    <n v="0"/>
  </r>
  <r>
    <n v="1"/>
    <n v="114"/>
    <n v="1"/>
    <x v="1"/>
    <s v="F"/>
    <s v="filler"/>
    <s v="Stim4_Set4"/>
    <m/>
    <m/>
    <n v="1"/>
    <n v="0"/>
    <n v="1"/>
    <n v="0"/>
  </r>
  <r>
    <n v="1"/>
    <n v="115"/>
    <n v="1"/>
    <x v="1"/>
    <s v="NT"/>
    <s v="nontarget"/>
    <s v="Stim2_Set1"/>
    <m/>
    <s v="yes"/>
    <n v="1"/>
    <n v="1"/>
    <n v="0"/>
    <n v="1"/>
  </r>
  <r>
    <n v="1"/>
    <n v="116"/>
    <n v="2"/>
    <x v="0"/>
    <s v="T"/>
    <s v="switch"/>
    <s v="Stim2_Set1"/>
    <m/>
    <s v="no"/>
    <n v="0"/>
    <n v="0"/>
    <n v="0"/>
    <n v="0"/>
  </r>
  <r>
    <n v="1"/>
    <n v="117"/>
    <n v="2"/>
    <x v="0"/>
    <s v="NT"/>
    <s v="nontarget"/>
    <s v="Stim1_Set1"/>
    <m/>
    <s v="yes"/>
    <n v="1"/>
    <n v="1"/>
    <n v="1"/>
    <n v="0"/>
  </r>
  <r>
    <n v="1"/>
    <n v="118"/>
    <n v="1"/>
    <x v="1"/>
    <s v="T"/>
    <s v="switch"/>
    <s v="Stim1_Set1"/>
    <m/>
    <s v="no"/>
    <n v="0"/>
    <n v="0"/>
    <n v="0"/>
    <n v="0"/>
  </r>
  <r>
    <n v="1"/>
    <n v="119"/>
    <n v="2"/>
    <x v="0"/>
    <s v="F"/>
    <s v="filler"/>
    <s v="Stim2_Set4"/>
    <m/>
    <m/>
    <n v="0"/>
    <n v="0"/>
    <n v="1"/>
    <n v="0"/>
  </r>
  <r>
    <n v="1"/>
    <n v="120"/>
    <n v="1"/>
    <x v="1"/>
    <s v="NT"/>
    <s v="nontarget"/>
    <s v="Stim8_Set1"/>
    <m/>
    <s v="yes"/>
    <n v="0"/>
    <n v="1"/>
    <n v="0"/>
    <n v="1"/>
  </r>
  <r>
    <n v="1"/>
    <n v="121"/>
    <n v="1"/>
    <x v="1"/>
    <s v="T"/>
    <s v="repeat"/>
    <s v="Stim8_Set1"/>
    <m/>
    <s v="no"/>
    <n v="1"/>
    <n v="0"/>
    <n v="0"/>
    <n v="0"/>
  </r>
  <r>
    <n v="1"/>
    <n v="122"/>
    <n v="2"/>
    <x v="0"/>
    <s v="F"/>
    <s v="filler"/>
    <s v="Stim7_Set4"/>
    <m/>
    <m/>
    <n v="0"/>
    <n v="0"/>
    <n v="1"/>
    <n v="0"/>
  </r>
  <r>
    <n v="1"/>
    <n v="123"/>
    <n v="1"/>
    <x v="1"/>
    <s v="NT"/>
    <s v="nontarget"/>
    <s v="Stim5_Set1"/>
    <m/>
    <s v="yes"/>
    <n v="0"/>
    <n v="1"/>
    <n v="0"/>
    <n v="1"/>
  </r>
  <r>
    <n v="1"/>
    <n v="124"/>
    <n v="1"/>
    <x v="1"/>
    <s v="T"/>
    <s v="repeat"/>
    <s v="Stim5_Set1"/>
    <m/>
    <s v="no"/>
    <n v="1"/>
    <n v="0"/>
    <n v="0"/>
    <n v="0"/>
  </r>
  <r>
    <n v="1"/>
    <n v="125"/>
    <n v="2"/>
    <x v="0"/>
    <s v="F"/>
    <s v="filler"/>
    <s v="Stim1_Set4"/>
    <m/>
    <m/>
    <n v="0"/>
    <n v="0"/>
    <n v="1"/>
    <n v="0"/>
  </r>
  <r>
    <n v="1"/>
    <m/>
    <n v="2"/>
    <x v="0"/>
    <s v="F"/>
    <s v="filler"/>
    <s v="Stim4_Set4"/>
    <m/>
    <s v="yes"/>
    <n v="1"/>
    <n v="0"/>
    <n v="0"/>
    <n v="1"/>
  </r>
  <r>
    <n v="1"/>
    <n v="126"/>
    <n v="1"/>
    <x v="1"/>
    <s v="F"/>
    <s v="filler"/>
    <s v="Stim6_Set4"/>
    <m/>
    <s v="yes"/>
    <n v="0"/>
    <n v="0"/>
    <n v="0"/>
    <n v="1"/>
  </r>
  <r>
    <n v="1"/>
    <n v="127"/>
    <n v="1"/>
    <x v="1"/>
    <s v="NT"/>
    <s v="nontarget"/>
    <s v="Stim7_Set1"/>
    <m/>
    <s v="yes"/>
    <n v="1"/>
    <n v="1"/>
    <n v="0"/>
    <n v="1"/>
  </r>
  <r>
    <n v="1"/>
    <n v="128"/>
    <n v="2"/>
    <x v="0"/>
    <s v="T"/>
    <s v="switch"/>
    <s v="Stim7_Set1"/>
    <m/>
    <s v="no"/>
    <n v="0"/>
    <n v="0"/>
    <n v="0"/>
    <n v="0"/>
  </r>
  <r>
    <n v="1"/>
    <n v="129"/>
    <n v="1"/>
    <x v="1"/>
    <s v="F"/>
    <s v="filler"/>
    <s v="Stim5_Set4"/>
    <m/>
    <m/>
    <n v="0"/>
    <n v="0"/>
    <n v="1"/>
    <n v="0"/>
  </r>
  <r>
    <n v="1"/>
    <n v="130"/>
    <n v="1"/>
    <x v="1"/>
    <s v="F"/>
    <s v="filler"/>
    <s v="Stim3_Set4"/>
    <m/>
    <s v="yes"/>
    <n v="1"/>
    <n v="0"/>
    <n v="0"/>
    <n v="1"/>
  </r>
  <r>
    <n v="2"/>
    <n v="131"/>
    <n v="1"/>
    <x v="1"/>
    <s v="NT"/>
    <s v="nontarget"/>
    <s v="Stim5_Set2"/>
    <m/>
    <s v="yes"/>
    <n v="1"/>
    <n v="1"/>
    <n v="0"/>
    <n v="1"/>
  </r>
  <r>
    <n v="2"/>
    <n v="132"/>
    <n v="1"/>
    <x v="1"/>
    <s v="T"/>
    <s v="repeat"/>
    <s v="Stim5_Set2"/>
    <m/>
    <s v="no"/>
    <n v="1"/>
    <n v="0"/>
    <n v="0"/>
    <n v="0"/>
  </r>
  <r>
    <n v="2"/>
    <n v="133"/>
    <n v="2"/>
    <x v="0"/>
    <s v="F"/>
    <s v="filler"/>
    <s v="Stim4_Set1"/>
    <m/>
    <m/>
    <n v="0"/>
    <n v="0"/>
    <n v="1"/>
    <n v="0"/>
  </r>
  <r>
    <n v="2"/>
    <n v="134"/>
    <n v="1"/>
    <x v="1"/>
    <s v="NT"/>
    <s v="nontarget"/>
    <s v="Stim3_Set2"/>
    <m/>
    <s v="yes"/>
    <n v="0"/>
    <n v="1"/>
    <n v="0"/>
    <n v="1"/>
  </r>
  <r>
    <n v="2"/>
    <n v="135"/>
    <n v="1"/>
    <x v="1"/>
    <s v="T"/>
    <s v="repeat"/>
    <s v="Stim3_Set2"/>
    <m/>
    <s v="no"/>
    <n v="1"/>
    <n v="0"/>
    <n v="0"/>
    <n v="0"/>
  </r>
  <r>
    <n v="2"/>
    <n v="136"/>
    <n v="1"/>
    <x v="1"/>
    <s v="NT"/>
    <s v="nontarget"/>
    <s v="Stim1_Set2"/>
    <m/>
    <s v="yes"/>
    <n v="1"/>
    <n v="1"/>
    <n v="1"/>
    <n v="0"/>
  </r>
  <r>
    <n v="2"/>
    <n v="137"/>
    <n v="2"/>
    <x v="0"/>
    <s v="T"/>
    <s v="switch"/>
    <s v="Stim1_Set2"/>
    <m/>
    <s v="no"/>
    <n v="0"/>
    <n v="0"/>
    <n v="0"/>
    <n v="0"/>
  </r>
  <r>
    <n v="2"/>
    <n v="138"/>
    <n v="2"/>
    <x v="0"/>
    <s v="F"/>
    <s v="filler"/>
    <s v="Stim3_Set1"/>
    <m/>
    <m/>
    <n v="1"/>
    <n v="0"/>
    <n v="1"/>
    <n v="0"/>
  </r>
  <r>
    <n v="2"/>
    <m/>
    <n v="2"/>
    <x v="0"/>
    <s v="F"/>
    <s v="filler"/>
    <s v="Stim8_Set1"/>
    <m/>
    <s v="yes"/>
    <n v="1"/>
    <n v="0"/>
    <n v="0"/>
    <n v="1"/>
  </r>
  <r>
    <n v="2"/>
    <n v="139"/>
    <n v="2"/>
    <x v="0"/>
    <s v="NT"/>
    <s v="nontarget"/>
    <s v="Stim7_Set2"/>
    <m/>
    <s v="yes"/>
    <n v="1"/>
    <n v="1"/>
    <n v="0"/>
    <n v="1"/>
  </r>
  <r>
    <n v="2"/>
    <n v="140"/>
    <n v="1"/>
    <x v="1"/>
    <s v="T"/>
    <s v="switch"/>
    <s v="Stim7_Set2"/>
    <m/>
    <s v="no"/>
    <n v="0"/>
    <n v="0"/>
    <n v="0"/>
    <n v="0"/>
  </r>
  <r>
    <n v="2"/>
    <n v="141"/>
    <n v="2"/>
    <x v="1"/>
    <s v="F"/>
    <s v="filler"/>
    <m/>
    <s v="here"/>
    <m/>
    <n v="1"/>
    <n v="0"/>
    <n v="1"/>
    <n v="0"/>
  </r>
  <r>
    <n v="2"/>
    <n v="142"/>
    <n v="1"/>
    <x v="1"/>
    <s v="NT"/>
    <s v="nontarget"/>
    <s v="Stim2_Set2"/>
    <m/>
    <s v="yes"/>
    <n v="1"/>
    <n v="1"/>
    <n v="1"/>
    <n v="0"/>
  </r>
  <r>
    <n v="2"/>
    <n v="143"/>
    <n v="2"/>
    <x v="0"/>
    <s v="T"/>
    <s v="switch"/>
    <s v="Stim2_Set2"/>
    <m/>
    <s v="no"/>
    <n v="0"/>
    <n v="0"/>
    <n v="0"/>
    <n v="0"/>
  </r>
  <r>
    <n v="2"/>
    <n v="144"/>
    <n v="1"/>
    <x v="1"/>
    <s v="F"/>
    <s v="filler"/>
    <s v="Stim6_Set1"/>
    <m/>
    <m/>
    <n v="0"/>
    <n v="0"/>
    <n v="1"/>
    <n v="0"/>
  </r>
  <r>
    <n v="2"/>
    <n v="145"/>
    <n v="2"/>
    <x v="0"/>
    <s v="F"/>
    <s v="filler"/>
    <s v="Stim2_Set1"/>
    <m/>
    <s v="yes"/>
    <n v="0"/>
    <n v="0"/>
    <n v="0"/>
    <n v="1"/>
  </r>
  <r>
    <n v="2"/>
    <n v="146"/>
    <n v="1"/>
    <x v="1"/>
    <s v="F"/>
    <s v="filler"/>
    <s v="Stim5_Set1"/>
    <m/>
    <s v="yes"/>
    <n v="0"/>
    <n v="0"/>
    <n v="0"/>
    <n v="1"/>
  </r>
  <r>
    <n v="2"/>
    <n v="147"/>
    <n v="2"/>
    <x v="0"/>
    <s v="NT"/>
    <s v="nontarget"/>
    <s v="Stim4_Set2"/>
    <m/>
    <s v="yes"/>
    <n v="0"/>
    <n v="1"/>
    <n v="0"/>
    <n v="1"/>
  </r>
  <r>
    <n v="2"/>
    <n v="148"/>
    <n v="2"/>
    <x v="0"/>
    <s v="T"/>
    <s v="repeat"/>
    <s v="Stim4_Set2"/>
    <m/>
    <s v="no"/>
    <n v="1"/>
    <n v="0"/>
    <n v="0"/>
    <n v="0"/>
  </r>
  <r>
    <n v="2"/>
    <n v="149"/>
    <n v="1"/>
    <x v="1"/>
    <s v="F"/>
    <s v="filler"/>
    <s v="Stim1_Set1"/>
    <m/>
    <m/>
    <n v="0"/>
    <n v="0"/>
    <n v="1"/>
    <n v="0"/>
  </r>
  <r>
    <n v="2"/>
    <n v="150"/>
    <n v="2"/>
    <x v="0"/>
    <s v="NT"/>
    <s v="nontarget"/>
    <s v="Stim8_Set2"/>
    <m/>
    <s v="yes"/>
    <n v="0"/>
    <n v="1"/>
    <n v="0"/>
    <n v="1"/>
  </r>
  <r>
    <n v="2"/>
    <n v="151"/>
    <n v="2"/>
    <x v="0"/>
    <s v="T"/>
    <s v="repeat"/>
    <s v="Stim8_Set2"/>
    <m/>
    <s v="no"/>
    <n v="1"/>
    <n v="0"/>
    <n v="0"/>
    <n v="0"/>
  </r>
  <r>
    <n v="2"/>
    <n v="152"/>
    <n v="1"/>
    <x v="1"/>
    <s v="F"/>
    <s v="filler"/>
    <s v="Stim8_Set1"/>
    <m/>
    <m/>
    <n v="0"/>
    <n v="0"/>
    <n v="1"/>
    <n v="0"/>
  </r>
  <r>
    <n v="2"/>
    <n v="153"/>
    <n v="1"/>
    <x v="1"/>
    <s v="F"/>
    <s v="filler"/>
    <s v="Stim4_Set1"/>
    <m/>
    <s v="yes"/>
    <n v="1"/>
    <n v="0"/>
    <n v="0"/>
    <n v="1"/>
  </r>
  <r>
    <n v="2"/>
    <n v="154"/>
    <n v="2"/>
    <x v="0"/>
    <s v="F"/>
    <s v="filler"/>
    <s v="Stim7_Set1"/>
    <m/>
    <s v="yes"/>
    <n v="0"/>
    <n v="0"/>
    <n v="0"/>
    <n v="1"/>
  </r>
  <r>
    <n v="2"/>
    <n v="155"/>
    <n v="2"/>
    <x v="0"/>
    <s v="NT"/>
    <s v="nontarget"/>
    <s v="Stim6_Set2"/>
    <m/>
    <s v="yes"/>
    <n v="1"/>
    <n v="1"/>
    <n v="0"/>
    <n v="1"/>
  </r>
  <r>
    <n v="2"/>
    <n v="156"/>
    <n v="1"/>
    <x v="1"/>
    <s v="T"/>
    <s v="switch"/>
    <s v="Stim6_Set2"/>
    <m/>
    <s v="no"/>
    <n v="0"/>
    <n v="0"/>
    <n v="0"/>
    <n v="0"/>
  </r>
  <r>
    <n v="3"/>
    <n v="157"/>
    <n v="1"/>
    <x v="1"/>
    <s v="F"/>
    <s v="filler"/>
    <s v="Stim5_Set2"/>
    <m/>
    <m/>
    <n v="1"/>
    <n v="0"/>
    <n v="1"/>
    <n v="0"/>
  </r>
  <r>
    <n v="3"/>
    <n v="158"/>
    <n v="1"/>
    <x v="1"/>
    <s v="NT"/>
    <s v="nontarget"/>
    <s v="Stim6_Set3"/>
    <m/>
    <s v="yes"/>
    <n v="1"/>
    <n v="1"/>
    <n v="0"/>
    <n v="1"/>
  </r>
  <r>
    <n v="3"/>
    <n v="159"/>
    <n v="2"/>
    <x v="0"/>
    <s v="T"/>
    <s v="switch"/>
    <s v="Stim6_Set3"/>
    <m/>
    <s v="no"/>
    <n v="0"/>
    <n v="0"/>
    <n v="0"/>
    <n v="0"/>
  </r>
  <r>
    <n v="3"/>
    <n v="160"/>
    <n v="2"/>
    <x v="0"/>
    <s v="F"/>
    <s v="filler"/>
    <s v="Stim3_Set2"/>
    <m/>
    <m/>
    <n v="1"/>
    <n v="0"/>
    <n v="1"/>
    <n v="0"/>
  </r>
  <r>
    <n v="3"/>
    <n v="161"/>
    <n v="2"/>
    <x v="0"/>
    <s v="NT"/>
    <s v="nontarget"/>
    <s v="Stim4_Set3"/>
    <m/>
    <s v="yes"/>
    <n v="1"/>
    <n v="1"/>
    <n v="0"/>
    <n v="1"/>
  </r>
  <r>
    <n v="3"/>
    <n v="162"/>
    <n v="1"/>
    <x v="1"/>
    <s v="T"/>
    <s v="switch"/>
    <s v="Stim4_Set3"/>
    <m/>
    <s v="no"/>
    <n v="0"/>
    <n v="0"/>
    <n v="0"/>
    <n v="0"/>
  </r>
  <r>
    <n v="3"/>
    <n v="163"/>
    <n v="1"/>
    <x v="1"/>
    <s v="F"/>
    <s v="filler"/>
    <m/>
    <s v="here"/>
    <m/>
    <n v="1"/>
    <n v="0"/>
    <n v="1"/>
    <n v="0"/>
  </r>
  <r>
    <n v="3"/>
    <n v="164"/>
    <n v="1"/>
    <x v="1"/>
    <s v="NT"/>
    <s v="nontarget"/>
    <s v="Stim8_Set3"/>
    <m/>
    <s v="yes"/>
    <n v="1"/>
    <n v="1"/>
    <n v="0"/>
    <n v="1"/>
  </r>
  <r>
    <n v="3"/>
    <n v="165"/>
    <n v="2"/>
    <x v="0"/>
    <s v="T"/>
    <s v="switch"/>
    <s v="Stim8_Set3"/>
    <m/>
    <s v="no"/>
    <n v="0"/>
    <n v="0"/>
    <n v="0"/>
    <n v="0"/>
  </r>
  <r>
    <n v="3"/>
    <n v="166"/>
    <n v="1"/>
    <x v="1"/>
    <s v="F"/>
    <s v="filler"/>
    <s v="Stim1_Set2"/>
    <m/>
    <m/>
    <n v="0"/>
    <n v="0"/>
    <n v="1"/>
    <n v="0"/>
  </r>
  <r>
    <n v="3"/>
    <m/>
    <n v="1"/>
    <x v="1"/>
    <s v="F"/>
    <s v="filler"/>
    <s v="Stim4_Set2"/>
    <m/>
    <s v="yes"/>
    <n v="1"/>
    <n v="0"/>
    <n v="0"/>
    <n v="1"/>
  </r>
  <r>
    <n v="3"/>
    <n v="167"/>
    <n v="2"/>
    <x v="0"/>
    <s v="NT"/>
    <s v="nontarget"/>
    <s v="Stim7_Set3"/>
    <m/>
    <s v="yes"/>
    <n v="0"/>
    <n v="1"/>
    <n v="0"/>
    <n v="1"/>
  </r>
  <r>
    <n v="3"/>
    <n v="168"/>
    <n v="2"/>
    <x v="0"/>
    <s v="T"/>
    <s v="repeat"/>
    <s v="Stim7_Set3"/>
    <m/>
    <s v="no"/>
    <n v="1"/>
    <n v="0"/>
    <n v="0"/>
    <n v="0"/>
  </r>
  <r>
    <n v="3"/>
    <n v="169"/>
    <n v="2"/>
    <x v="0"/>
    <s v="F"/>
    <s v="filler"/>
    <s v="Stim7_Set2"/>
    <m/>
    <m/>
    <n v="1"/>
    <n v="0"/>
    <n v="1"/>
    <n v="0"/>
  </r>
  <r>
    <n v="3"/>
    <n v="170"/>
    <n v="1"/>
    <x v="1"/>
    <s v="F"/>
    <s v="filler"/>
    <s v="Stim2_Set2"/>
    <m/>
    <s v="yes"/>
    <n v="0"/>
    <n v="0"/>
    <n v="0"/>
    <n v="1"/>
  </r>
  <r>
    <n v="3"/>
    <n v="171"/>
    <n v="2"/>
    <x v="0"/>
    <s v="NT"/>
    <s v="nontarget"/>
    <s v="Stim1_Set3"/>
    <m/>
    <s v="yes"/>
    <n v="0"/>
    <n v="1"/>
    <n v="0"/>
    <n v="1"/>
  </r>
  <r>
    <n v="3"/>
    <n v="172"/>
    <n v="2"/>
    <x v="0"/>
    <s v="T"/>
    <s v="repeat"/>
    <s v="Stim1_Set3"/>
    <m/>
    <s v="no"/>
    <n v="1"/>
    <n v="0"/>
    <n v="0"/>
    <n v="0"/>
  </r>
  <r>
    <n v="3"/>
    <n v="173"/>
    <n v="2"/>
    <x v="0"/>
    <s v="NT"/>
    <s v="nontarget"/>
    <s v="Stim3_Set3"/>
    <m/>
    <s v="yes"/>
    <n v="1"/>
    <n v="1"/>
    <n v="1"/>
    <n v="0"/>
  </r>
  <r>
    <n v="3"/>
    <n v="174"/>
    <n v="1"/>
    <x v="1"/>
    <s v="T"/>
    <s v="switch"/>
    <s v="Stim3_Set3"/>
    <m/>
    <s v="no"/>
    <n v="0"/>
    <n v="0"/>
    <n v="0"/>
    <n v="0"/>
  </r>
  <r>
    <n v="3"/>
    <n v="175"/>
    <n v="2"/>
    <x v="0"/>
    <s v="F"/>
    <s v="filler"/>
    <s v="Stim4_Set2"/>
    <m/>
    <m/>
    <n v="0"/>
    <n v="0"/>
    <n v="1"/>
    <n v="0"/>
  </r>
  <r>
    <n v="3"/>
    <n v="176"/>
    <n v="1"/>
    <x v="1"/>
    <s v="F"/>
    <s v="filler"/>
    <m/>
    <s v="here"/>
    <s v="yes"/>
    <n v="0"/>
    <n v="0"/>
    <n v="0"/>
    <n v="1"/>
  </r>
  <r>
    <n v="3"/>
    <n v="177"/>
    <n v="1"/>
    <x v="1"/>
    <s v="NT"/>
    <s v="nontarget"/>
    <s v="Stim5_Set3"/>
    <m/>
    <s v="yes"/>
    <n v="1"/>
    <n v="1"/>
    <n v="0"/>
    <n v="1"/>
  </r>
  <r>
    <n v="3"/>
    <n v="178"/>
    <n v="1"/>
    <x v="1"/>
    <s v="T"/>
    <s v="repeat"/>
    <s v="Stim5_Set3"/>
    <m/>
    <s v="no"/>
    <n v="1"/>
    <n v="0"/>
    <n v="0"/>
    <n v="0"/>
  </r>
  <r>
    <n v="3"/>
    <n v="179"/>
    <n v="2"/>
    <x v="0"/>
    <s v="F"/>
    <s v="filler"/>
    <s v="Stim8_Set2"/>
    <m/>
    <m/>
    <n v="0"/>
    <n v="0"/>
    <n v="1"/>
    <n v="0"/>
  </r>
  <r>
    <n v="3"/>
    <n v="180"/>
    <n v="1"/>
    <x v="1"/>
    <s v="NT"/>
    <s v="nontarget"/>
    <s v="Stim2_Set3"/>
    <m/>
    <s v="yes"/>
    <n v="0"/>
    <n v="1"/>
    <n v="0"/>
    <n v="1"/>
  </r>
  <r>
    <n v="3"/>
    <n v="181"/>
    <n v="1"/>
    <x v="1"/>
    <s v="T"/>
    <s v="repeat"/>
    <s v="Stim2_Set3"/>
    <m/>
    <s v="no"/>
    <n v="1"/>
    <n v="0"/>
    <n v="0"/>
    <n v="0"/>
  </r>
  <r>
    <n v="3"/>
    <n v="182"/>
    <n v="1"/>
    <x v="1"/>
    <s v="F"/>
    <s v="filler"/>
    <s v="Stim6_Set2"/>
    <m/>
    <m/>
    <n v="1"/>
    <n v="0"/>
    <n v="1"/>
    <n v="0"/>
  </r>
  <r>
    <n v="4"/>
    <n v="183"/>
    <n v="2"/>
    <x v="0"/>
    <s v="F"/>
    <s v="filler"/>
    <s v="Stim6_Set3"/>
    <m/>
    <s v="yes"/>
    <n v="0"/>
    <n v="0"/>
    <n v="0"/>
    <n v="1"/>
  </r>
  <r>
    <n v="4"/>
    <n v="184"/>
    <n v="1"/>
    <x v="1"/>
    <s v="NT"/>
    <s v="nontarget"/>
    <s v="Stim3_Set4"/>
    <m/>
    <s v="yes"/>
    <n v="0"/>
    <n v="1"/>
    <n v="0"/>
    <n v="1"/>
  </r>
  <r>
    <n v="4"/>
    <n v="185"/>
    <n v="1"/>
    <x v="1"/>
    <s v="T"/>
    <s v="repeat"/>
    <s v="Stim3_Set4"/>
    <m/>
    <s v="no"/>
    <n v="1"/>
    <n v="0"/>
    <n v="0"/>
    <n v="0"/>
  </r>
  <r>
    <n v="4"/>
    <n v="186"/>
    <n v="1"/>
    <x v="1"/>
    <s v="NT"/>
    <s v="nontarget"/>
    <s v="Stim8_Set4"/>
    <m/>
    <s v="yes"/>
    <n v="1"/>
    <n v="1"/>
    <n v="1"/>
    <n v="0"/>
  </r>
  <r>
    <n v="4"/>
    <n v="187"/>
    <n v="2"/>
    <x v="0"/>
    <s v="T"/>
    <s v="switch"/>
    <s v="Stim8_Set4"/>
    <m/>
    <s v="no"/>
    <n v="0"/>
    <n v="0"/>
    <n v="0"/>
    <n v="0"/>
  </r>
  <r>
    <n v="4"/>
    <n v="188"/>
    <n v="1"/>
    <x v="1"/>
    <s v="F"/>
    <s v="filler"/>
    <s v="Stim4_Set3"/>
    <m/>
    <m/>
    <n v="0"/>
    <n v="0"/>
    <n v="1"/>
    <n v="0"/>
  </r>
  <r>
    <n v="4"/>
    <n v="189"/>
    <n v="2"/>
    <x v="0"/>
    <s v="NT"/>
    <s v="nontarget"/>
    <s v="Stim4_Set4"/>
    <m/>
    <s v="yes"/>
    <n v="0"/>
    <n v="1"/>
    <n v="0"/>
    <n v="1"/>
  </r>
  <r>
    <n v="4"/>
    <n v="190"/>
    <n v="2"/>
    <x v="0"/>
    <s v="T"/>
    <s v="repeat"/>
    <s v="Stim4_Set4"/>
    <m/>
    <s v="no"/>
    <n v="1"/>
    <n v="0"/>
    <n v="0"/>
    <n v="0"/>
  </r>
  <r>
    <n v="4"/>
    <n v="191"/>
    <n v="2"/>
    <x v="0"/>
    <s v="NT"/>
    <s v="nontarget"/>
    <s v="Stim2_Set4"/>
    <m/>
    <s v="yes"/>
    <n v="1"/>
    <n v="1"/>
    <n v="1"/>
    <n v="0"/>
  </r>
  <r>
    <n v="4"/>
    <n v="192"/>
    <n v="1"/>
    <x v="1"/>
    <s v="T"/>
    <s v="switch"/>
    <s v="Stim2_Set4"/>
    <m/>
    <s v="no"/>
    <n v="0"/>
    <n v="0"/>
    <n v="0"/>
    <n v="0"/>
  </r>
  <r>
    <n v="4"/>
    <n v="193"/>
    <n v="2"/>
    <x v="0"/>
    <s v="F"/>
    <s v="filler"/>
    <s v="Stim8_Set3"/>
    <m/>
    <m/>
    <n v="0"/>
    <n v="0"/>
    <n v="1"/>
    <n v="0"/>
  </r>
  <r>
    <n v="4"/>
    <n v="194"/>
    <n v="1"/>
    <x v="1"/>
    <s v="NT"/>
    <s v="nontarget"/>
    <s v="Stim7_Set4"/>
    <m/>
    <s v="yes"/>
    <n v="0"/>
    <n v="1"/>
    <n v="0"/>
    <n v="1"/>
  </r>
  <r>
    <n v="4"/>
    <n v="195"/>
    <n v="2"/>
    <x v="0"/>
    <s v="T"/>
    <s v="switch"/>
    <s v="Stim7_Set4"/>
    <m/>
    <s v="no"/>
    <n v="0"/>
    <n v="0"/>
    <n v="0"/>
    <n v="0"/>
  </r>
  <r>
    <n v="4"/>
    <n v="196"/>
    <n v="1"/>
    <x v="1"/>
    <s v="F"/>
    <s v="filler"/>
    <s v="Stim1_Set3"/>
    <m/>
    <m/>
    <n v="0"/>
    <n v="0"/>
    <n v="1"/>
    <n v="0"/>
  </r>
  <r>
    <n v="4"/>
    <m/>
    <n v="1"/>
    <x v="1"/>
    <s v="F"/>
    <s v="filler"/>
    <s v="Stim2_Set3"/>
    <m/>
    <s v="yes"/>
    <n v="1"/>
    <n v="0"/>
    <n v="0"/>
    <n v="1"/>
  </r>
  <r>
    <n v="4"/>
    <n v="197"/>
    <n v="2"/>
    <x v="0"/>
    <s v="F"/>
    <s v="filler"/>
    <s v="Stim7_Set3"/>
    <m/>
    <s v="yes"/>
    <n v="0"/>
    <n v="0"/>
    <n v="0"/>
    <n v="1"/>
  </r>
  <r>
    <n v="4"/>
    <n v="198"/>
    <n v="2"/>
    <x v="0"/>
    <s v="NT"/>
    <s v="nontarget"/>
    <s v="Stim1_Set4"/>
    <m/>
    <s v="yes"/>
    <n v="1"/>
    <n v="1"/>
    <n v="0"/>
    <n v="1"/>
  </r>
  <r>
    <n v="4"/>
    <n v="199"/>
    <n v="2"/>
    <x v="0"/>
    <s v="T"/>
    <s v="repeat"/>
    <s v="Stim1_Set4"/>
    <m/>
    <s v="no"/>
    <n v="1"/>
    <n v="0"/>
    <n v="0"/>
    <n v="0"/>
  </r>
  <r>
    <n v="4"/>
    <n v="200"/>
    <n v="1"/>
    <x v="1"/>
    <s v="F"/>
    <s v="filler"/>
    <s v="Stim3_Set3"/>
    <m/>
    <m/>
    <n v="0"/>
    <n v="0"/>
    <n v="1"/>
    <n v="0"/>
  </r>
  <r>
    <n v="4"/>
    <n v="201"/>
    <n v="2"/>
    <x v="0"/>
    <s v="F"/>
    <s v="filler"/>
    <s v="Stim5_Set3"/>
    <m/>
    <s v="yes"/>
    <n v="0"/>
    <n v="0"/>
    <n v="0"/>
    <n v="1"/>
  </r>
  <r>
    <n v="4"/>
    <n v="202"/>
    <n v="2"/>
    <x v="0"/>
    <s v="NT"/>
    <s v="nontarget"/>
    <s v="Stim6_Set4"/>
    <m/>
    <s v="yes"/>
    <n v="1"/>
    <n v="1"/>
    <n v="0"/>
    <n v="1"/>
  </r>
  <r>
    <n v="4"/>
    <n v="203"/>
    <n v="1"/>
    <x v="1"/>
    <s v="T"/>
    <s v="switch"/>
    <s v="Stim6_Set4"/>
    <m/>
    <s v="no"/>
    <n v="0"/>
    <n v="0"/>
    <n v="0"/>
    <n v="0"/>
  </r>
  <r>
    <n v="4"/>
    <n v="204"/>
    <n v="1"/>
    <x v="1"/>
    <s v="NT"/>
    <s v="nontarget"/>
    <s v="Stim5_Set4"/>
    <m/>
    <s v="yes"/>
    <n v="1"/>
    <n v="1"/>
    <n v="1"/>
    <n v="0"/>
  </r>
  <r>
    <n v="4"/>
    <n v="205"/>
    <n v="1"/>
    <x v="1"/>
    <s v="T"/>
    <s v="repeat"/>
    <s v="Stim5_Set4"/>
    <m/>
    <s v="no"/>
    <n v="1"/>
    <n v="0"/>
    <n v="0"/>
    <n v="0"/>
  </r>
  <r>
    <n v="4"/>
    <n v="206"/>
    <n v="2"/>
    <x v="0"/>
    <s v="F"/>
    <s v="filler"/>
    <m/>
    <s v="here"/>
    <m/>
    <n v="0"/>
    <n v="0"/>
    <n v="1"/>
    <n v="0"/>
  </r>
  <r>
    <n v="4"/>
    <n v="207"/>
    <n v="2"/>
    <x v="0"/>
    <s v="F"/>
    <s v="filler"/>
    <s v="Stim3_Set3"/>
    <m/>
    <s v="yes"/>
    <n v="1"/>
    <n v="0"/>
    <n v="0"/>
    <n v="1"/>
  </r>
  <r>
    <n v="4"/>
    <n v="208"/>
    <n v="1"/>
    <x v="1"/>
    <s v="F"/>
    <s v="filler"/>
    <s v="Stim2_Set3"/>
    <m/>
    <m/>
    <n v="0"/>
    <n v="0"/>
    <n v="0"/>
    <n v="1"/>
  </r>
  <r>
    <s v="BREAK"/>
    <n v="209"/>
    <m/>
    <x v="2"/>
    <s v="break"/>
    <m/>
    <m/>
    <m/>
    <s v="no"/>
    <n v="0"/>
    <n v="0"/>
    <n v="0"/>
    <n v="1"/>
  </r>
  <r>
    <n v="1"/>
    <n v="210"/>
    <n v="2"/>
    <x v="0"/>
    <s v="F"/>
    <s v="filler"/>
    <s v="Stim4_Set4"/>
    <m/>
    <s v="yes"/>
    <n v="0"/>
    <n v="0"/>
    <n v="0"/>
    <n v="0"/>
  </r>
  <r>
    <n v="1"/>
    <n v="211"/>
    <n v="2"/>
    <x v="0"/>
    <s v="NT"/>
    <s v="nontarget"/>
    <s v="Stim7_Set1"/>
    <m/>
    <s v="yes"/>
    <n v="1"/>
    <n v="1"/>
    <n v="0"/>
    <n v="1"/>
  </r>
  <r>
    <n v="1"/>
    <n v="212"/>
    <n v="2"/>
    <x v="0"/>
    <s v="T"/>
    <s v="repeat"/>
    <s v="Stim7_Set1"/>
    <m/>
    <s v="no"/>
    <n v="1"/>
    <n v="0"/>
    <n v="0"/>
    <n v="0"/>
  </r>
  <r>
    <n v="1"/>
    <n v="213"/>
    <n v="1"/>
    <x v="1"/>
    <s v="F"/>
    <s v="filler"/>
    <s v="Stim6_Set4"/>
    <m/>
    <m/>
    <n v="0"/>
    <n v="0"/>
    <n v="1"/>
    <n v="0"/>
  </r>
  <r>
    <n v="1"/>
    <m/>
    <n v="1"/>
    <x v="1"/>
    <s v="F"/>
    <s v="filler"/>
    <s v="Stim8_Set4"/>
    <m/>
    <s v="yes"/>
    <n v="1"/>
    <n v="0"/>
    <n v="0"/>
    <n v="1"/>
  </r>
  <r>
    <n v="1"/>
    <n v="214"/>
    <n v="1"/>
    <x v="1"/>
    <s v="F"/>
    <s v="filler"/>
    <s v="Stim2_Set4"/>
    <m/>
    <m/>
    <n v="1"/>
    <n v="0"/>
    <n v="0"/>
    <n v="1"/>
  </r>
  <r>
    <n v="1"/>
    <n v="215"/>
    <n v="2"/>
    <x v="0"/>
    <s v="NT"/>
    <s v="nontarget"/>
    <s v="Stim6_Set1"/>
    <m/>
    <s v="yes"/>
    <n v="0"/>
    <n v="1"/>
    <n v="0"/>
    <n v="1"/>
  </r>
  <r>
    <n v="1"/>
    <n v="216"/>
    <n v="2"/>
    <x v="0"/>
    <s v="T"/>
    <s v="repeat"/>
    <s v="Stim6_Set1"/>
    <m/>
    <s v="no"/>
    <n v="1"/>
    <n v="0"/>
    <n v="0"/>
    <n v="0"/>
  </r>
  <r>
    <n v="1"/>
    <n v="217"/>
    <n v="2"/>
    <x v="0"/>
    <s v="NT"/>
    <s v="nontarget"/>
    <s v="Stim8_Set1"/>
    <m/>
    <s v="yes"/>
    <n v="1"/>
    <n v="1"/>
    <n v="1"/>
    <n v="0"/>
  </r>
  <r>
    <n v="1"/>
    <n v="218"/>
    <n v="1"/>
    <x v="1"/>
    <s v="T"/>
    <s v="switch"/>
    <s v="Stim8_Set1"/>
    <m/>
    <s v="no"/>
    <n v="0"/>
    <n v="0"/>
    <n v="0"/>
    <n v="0"/>
  </r>
  <r>
    <n v="1"/>
    <n v="219"/>
    <n v="1"/>
    <x v="1"/>
    <s v="F"/>
    <s v="filler"/>
    <s v="Stim5_Set4"/>
    <m/>
    <m/>
    <n v="1"/>
    <n v="0"/>
    <n v="1"/>
    <n v="0"/>
  </r>
  <r>
    <n v="1"/>
    <n v="220"/>
    <n v="1"/>
    <x v="1"/>
    <s v="NT"/>
    <s v="nontarget"/>
    <s v="Stim1_Set1"/>
    <m/>
    <s v="yes"/>
    <n v="1"/>
    <n v="1"/>
    <n v="0"/>
    <n v="1"/>
  </r>
  <r>
    <n v="1"/>
    <n v="221"/>
    <n v="2"/>
    <x v="0"/>
    <s v="T"/>
    <s v="switch"/>
    <s v="Stim1_Set1"/>
    <m/>
    <s v="no"/>
    <n v="0"/>
    <n v="0"/>
    <n v="0"/>
    <n v="0"/>
  </r>
  <r>
    <n v="1"/>
    <n v="222"/>
    <n v="2"/>
    <x v="0"/>
    <s v="NT"/>
    <s v="nontarget"/>
    <s v="Stim4_Set1"/>
    <m/>
    <s v="yes"/>
    <n v="1"/>
    <n v="1"/>
    <n v="1"/>
    <n v="0"/>
  </r>
  <r>
    <n v="1"/>
    <n v="223"/>
    <n v="1"/>
    <x v="1"/>
    <s v="T"/>
    <s v="switch"/>
    <s v="Stim4_Set1"/>
    <m/>
    <s v="no"/>
    <n v="0"/>
    <n v="0"/>
    <n v="0"/>
    <n v="0"/>
  </r>
  <r>
    <n v="1"/>
    <n v="224"/>
    <n v="2"/>
    <x v="0"/>
    <s v="F"/>
    <s v="filler"/>
    <s v="Stim1_Set4"/>
    <m/>
    <m/>
    <n v="0"/>
    <n v="0"/>
    <n v="1"/>
    <n v="0"/>
  </r>
  <r>
    <n v="1"/>
    <n v="225"/>
    <n v="2"/>
    <x v="0"/>
    <s v="F"/>
    <s v="filler"/>
    <s v="Stim8_Set4"/>
    <m/>
    <m/>
    <n v="1"/>
    <n v="0"/>
    <n v="0"/>
    <n v="1"/>
  </r>
  <r>
    <n v="1"/>
    <n v="226"/>
    <n v="1"/>
    <x v="1"/>
    <s v="NT"/>
    <s v="nontarget"/>
    <s v="Stim2_Set1"/>
    <m/>
    <s v="yes"/>
    <n v="0"/>
    <n v="1"/>
    <n v="0"/>
    <n v="1"/>
  </r>
  <r>
    <n v="1"/>
    <n v="227"/>
    <n v="1"/>
    <x v="1"/>
    <s v="T"/>
    <s v="repeat"/>
    <s v="Stim2_Set1"/>
    <m/>
    <s v="no"/>
    <n v="1"/>
    <n v="0"/>
    <n v="0"/>
    <n v="0"/>
  </r>
  <r>
    <n v="1"/>
    <n v="228"/>
    <n v="2"/>
    <x v="0"/>
    <s v="F"/>
    <s v="filler"/>
    <s v="Stim3_Set4"/>
    <m/>
    <m/>
    <n v="0"/>
    <n v="0"/>
    <n v="1"/>
    <n v="0"/>
  </r>
  <r>
    <n v="1"/>
    <n v="229"/>
    <n v="2"/>
    <x v="0"/>
    <s v="F"/>
    <s v="filler"/>
    <s v="Stim7_Set4"/>
    <m/>
    <m/>
    <n v="1"/>
    <n v="0"/>
    <n v="0"/>
    <n v="1"/>
  </r>
  <r>
    <n v="1"/>
    <n v="230"/>
    <n v="1"/>
    <x v="1"/>
    <s v="NT"/>
    <s v="nontarget"/>
    <s v="Stim3_Set1"/>
    <m/>
    <s v="yes"/>
    <n v="0"/>
    <n v="1"/>
    <n v="0"/>
    <n v="1"/>
  </r>
  <r>
    <n v="1"/>
    <n v="231"/>
    <n v="1"/>
    <x v="1"/>
    <s v="T"/>
    <s v="repeat"/>
    <s v="Stim3_Set1"/>
    <m/>
    <s v="no"/>
    <n v="1"/>
    <n v="0"/>
    <n v="0"/>
    <n v="0"/>
  </r>
  <r>
    <n v="1"/>
    <n v="232"/>
    <n v="1"/>
    <x v="1"/>
    <s v="NT"/>
    <s v="nontarget"/>
    <s v="Stim5_Set1"/>
    <m/>
    <s v="yes"/>
    <n v="1"/>
    <n v="1"/>
    <n v="1"/>
    <n v="0"/>
  </r>
  <r>
    <n v="1"/>
    <n v="233"/>
    <n v="2"/>
    <x v="0"/>
    <s v="T"/>
    <s v="switch"/>
    <s v="Stim5_Set1"/>
    <m/>
    <s v="no"/>
    <n v="0"/>
    <n v="0"/>
    <n v="0"/>
    <n v="0"/>
  </r>
  <r>
    <n v="2"/>
    <n v="234"/>
    <n v="2"/>
    <x v="0"/>
    <s v="F"/>
    <s v="filler"/>
    <s v="Stim7_Set1"/>
    <m/>
    <m/>
    <n v="1"/>
    <n v="0"/>
    <n v="1"/>
    <n v="0"/>
  </r>
  <r>
    <n v="2"/>
    <n v="235"/>
    <n v="2"/>
    <x v="0"/>
    <s v="F"/>
    <s v="filler"/>
    <s v="Stim4_Set1"/>
    <m/>
    <s v="yes"/>
    <n v="1"/>
    <n v="0"/>
    <n v="0"/>
    <n v="1"/>
  </r>
  <r>
    <n v="2"/>
    <n v="236"/>
    <n v="1"/>
    <x v="1"/>
    <s v="F"/>
    <s v="filler"/>
    <s v="Stim3_Set1"/>
    <m/>
    <m/>
    <n v="0"/>
    <n v="0"/>
    <n v="0"/>
    <n v="1"/>
  </r>
  <r>
    <n v="2"/>
    <n v="237"/>
    <n v="1"/>
    <x v="1"/>
    <s v="NT"/>
    <s v="nontarget"/>
    <s v="Stim7_Set2"/>
    <m/>
    <s v="yes"/>
    <n v="1"/>
    <n v="1"/>
    <n v="0"/>
    <n v="1"/>
  </r>
  <r>
    <n v="2"/>
    <n v="238"/>
    <n v="1"/>
    <x v="1"/>
    <s v="T"/>
    <s v="repeat"/>
    <s v="Stim7_Set2"/>
    <m/>
    <s v="no"/>
    <n v="1"/>
    <n v="0"/>
    <n v="0"/>
    <n v="0"/>
  </r>
  <r>
    <n v="2"/>
    <n v="239"/>
    <n v="2"/>
    <x v="0"/>
    <s v="F"/>
    <s v="filler"/>
    <s v="Stim6_Set1"/>
    <m/>
    <m/>
    <n v="0"/>
    <n v="0"/>
    <n v="1"/>
    <n v="0"/>
  </r>
  <r>
    <n v="2"/>
    <n v="240"/>
    <n v="1"/>
    <x v="1"/>
    <s v="NT"/>
    <s v="nontarget"/>
    <s v="Stim6_Set2"/>
    <m/>
    <s v="yes"/>
    <n v="0"/>
    <n v="1"/>
    <n v="0"/>
    <n v="1"/>
  </r>
  <r>
    <n v="2"/>
    <n v="241"/>
    <n v="1"/>
    <x v="1"/>
    <s v="T"/>
    <s v="repeat"/>
    <s v="Stim6_Set2"/>
    <m/>
    <s v="no"/>
    <n v="1"/>
    <n v="0"/>
    <n v="0"/>
    <n v="0"/>
  </r>
  <r>
    <n v="2"/>
    <n v="242"/>
    <n v="1"/>
    <x v="1"/>
    <s v="NT"/>
    <s v="nontarget"/>
    <s v="Stim4_Set2"/>
    <m/>
    <s v="yes"/>
    <n v="1"/>
    <n v="1"/>
    <n v="1"/>
    <n v="0"/>
  </r>
  <r>
    <n v="2"/>
    <n v="243"/>
    <n v="2"/>
    <x v="0"/>
    <s v="T"/>
    <s v="switch"/>
    <s v="Stim4_Set2"/>
    <m/>
    <s v="no"/>
    <n v="0"/>
    <n v="0"/>
    <n v="0"/>
    <n v="0"/>
  </r>
  <r>
    <n v="2"/>
    <n v="244"/>
    <n v="2"/>
    <x v="0"/>
    <s v="F"/>
    <s v="filler"/>
    <s v="Stim8_Set1"/>
    <m/>
    <m/>
    <n v="1"/>
    <n v="0"/>
    <n v="1"/>
    <n v="0"/>
  </r>
  <r>
    <n v="2"/>
    <n v="245"/>
    <n v="2"/>
    <x v="0"/>
    <s v="NT"/>
    <s v="nontarget"/>
    <s v="Stim5_Set2"/>
    <m/>
    <s v="yes"/>
    <n v="1"/>
    <n v="1"/>
    <n v="0"/>
    <n v="1"/>
  </r>
  <r>
    <n v="2"/>
    <n v="246"/>
    <n v="1"/>
    <x v="1"/>
    <s v="T"/>
    <s v="switch"/>
    <s v="Stim5_Set2"/>
    <m/>
    <s v="no"/>
    <n v="0"/>
    <n v="0"/>
    <n v="0"/>
    <n v="0"/>
  </r>
  <r>
    <n v="2"/>
    <n v="247"/>
    <n v="1"/>
    <x v="1"/>
    <s v="F"/>
    <s v="filler"/>
    <s v="Stim1_Set1"/>
    <m/>
    <m/>
    <n v="1"/>
    <n v="0"/>
    <n v="1"/>
    <n v="0"/>
  </r>
  <r>
    <n v="2"/>
    <n v="248"/>
    <n v="1"/>
    <x v="1"/>
    <s v="NT"/>
    <s v="nontarget"/>
    <s v="Stim8_Set2"/>
    <m/>
    <s v="yes"/>
    <n v="1"/>
    <n v="1"/>
    <n v="0"/>
    <n v="1"/>
  </r>
  <r>
    <n v="2"/>
    <n v="249"/>
    <n v="2"/>
    <x v="0"/>
    <s v="T"/>
    <s v="switch"/>
    <s v="Stim8_Set2"/>
    <m/>
    <s v="no"/>
    <n v="0"/>
    <n v="0"/>
    <n v="0"/>
    <n v="0"/>
  </r>
  <r>
    <n v="2"/>
    <n v="250"/>
    <n v="1"/>
    <x v="1"/>
    <s v="F"/>
    <s v="filler"/>
    <s v="Stim4_Set1"/>
    <m/>
    <m/>
    <n v="0"/>
    <n v="0"/>
    <n v="1"/>
    <n v="0"/>
  </r>
  <r>
    <n v="2"/>
    <n v="251"/>
    <n v="2"/>
    <x v="0"/>
    <s v="NT"/>
    <s v="nontarget"/>
    <s v="Stim2_Set2"/>
    <m/>
    <s v="yes"/>
    <n v="0"/>
    <n v="1"/>
    <n v="0"/>
    <n v="1"/>
  </r>
  <r>
    <n v="2"/>
    <n v="252"/>
    <n v="2"/>
    <x v="0"/>
    <s v="T"/>
    <s v="repeat"/>
    <s v="Stim2_Set2"/>
    <m/>
    <s v="no"/>
    <n v="1"/>
    <n v="0"/>
    <n v="0"/>
    <n v="0"/>
  </r>
  <r>
    <n v="2"/>
    <n v="253"/>
    <n v="1"/>
    <x v="1"/>
    <s v="F"/>
    <s v="filler"/>
    <s v="Stim2_Set1"/>
    <m/>
    <m/>
    <n v="0"/>
    <n v="0"/>
    <n v="1"/>
    <n v="0"/>
  </r>
  <r>
    <n v="2"/>
    <n v="254"/>
    <n v="1"/>
    <x v="1"/>
    <s v="F"/>
    <s v="filler"/>
    <s v="Stim6_Set1"/>
    <m/>
    <s v="yes"/>
    <n v="1"/>
    <n v="0"/>
    <n v="0"/>
    <n v="1"/>
  </r>
  <r>
    <n v="2"/>
    <n v="255"/>
    <n v="2"/>
    <x v="0"/>
    <s v="NT"/>
    <s v="nontarget"/>
    <s v="Stim1_Set2"/>
    <m/>
    <s v="yes"/>
    <n v="0"/>
    <n v="1"/>
    <n v="0"/>
    <n v="1"/>
  </r>
  <r>
    <n v="2"/>
    <n v="256"/>
    <n v="2"/>
    <x v="0"/>
    <s v="T"/>
    <s v="repeat"/>
    <s v="Stim1_Set2"/>
    <m/>
    <s v="no"/>
    <n v="1"/>
    <n v="0"/>
    <n v="0"/>
    <n v="0"/>
  </r>
  <r>
    <n v="2"/>
    <n v="257"/>
    <n v="2"/>
    <x v="0"/>
    <s v="F"/>
    <s v="filler"/>
    <s v="Stim5_Set1"/>
    <m/>
    <m/>
    <n v="1"/>
    <n v="0"/>
    <n v="1"/>
    <n v="0"/>
  </r>
  <r>
    <n v="2"/>
    <n v="258"/>
    <n v="2"/>
    <x v="0"/>
    <s v="NT"/>
    <s v="nontarget"/>
    <s v="Stim3_Set2"/>
    <m/>
    <s v="yes"/>
    <n v="1"/>
    <n v="1"/>
    <n v="0"/>
    <n v="1"/>
  </r>
  <r>
    <n v="2"/>
    <n v="259"/>
    <n v="1"/>
    <x v="1"/>
    <s v="T"/>
    <s v="switch"/>
    <s v="Stim3_Set2"/>
    <m/>
    <s v="no"/>
    <n v="0"/>
    <n v="0"/>
    <n v="0"/>
    <n v="0"/>
  </r>
  <r>
    <n v="3"/>
    <n v="260"/>
    <n v="1"/>
    <x v="1"/>
    <s v="F"/>
    <s v="filler"/>
    <s v="Stim7_Set2"/>
    <m/>
    <m/>
    <n v="1"/>
    <n v="0"/>
    <n v="1"/>
    <n v="0"/>
  </r>
  <r>
    <n v="3"/>
    <n v="261"/>
    <n v="1"/>
    <x v="1"/>
    <s v="NT"/>
    <s v="nontarget"/>
    <s v="Stim4_Set3"/>
    <m/>
    <s v="yes"/>
    <n v="1"/>
    <n v="1"/>
    <n v="0"/>
    <n v="1"/>
  </r>
  <r>
    <n v="3"/>
    <n v="262"/>
    <n v="2"/>
    <x v="0"/>
    <s v="T"/>
    <s v="switch"/>
    <s v="Stim4_Set3"/>
    <m/>
    <s v="no"/>
    <n v="0"/>
    <n v="0"/>
    <n v="0"/>
    <n v="0"/>
  </r>
  <r>
    <n v="3"/>
    <n v="263"/>
    <n v="2"/>
    <x v="0"/>
    <s v="F"/>
    <s v="filler"/>
    <s v="Stim6_Set2"/>
    <m/>
    <m/>
    <n v="1"/>
    <n v="0"/>
    <n v="1"/>
    <n v="0"/>
  </r>
  <r>
    <n v="3"/>
    <n v="264"/>
    <n v="2"/>
    <x v="0"/>
    <s v="NT"/>
    <s v="nontarget"/>
    <s v="Stim7_Set3"/>
    <m/>
    <s v="yes"/>
    <n v="1"/>
    <n v="1"/>
    <n v="0"/>
    <n v="1"/>
  </r>
  <r>
    <n v="3"/>
    <n v="265"/>
    <n v="1"/>
    <x v="1"/>
    <s v="T"/>
    <s v="switch"/>
    <s v="Stim7_Set3"/>
    <m/>
    <s v="no"/>
    <n v="0"/>
    <n v="0"/>
    <n v="0"/>
    <n v="0"/>
  </r>
  <r>
    <n v="3"/>
    <n v="266"/>
    <n v="1"/>
    <x v="1"/>
    <s v="NT"/>
    <s v="nontarget"/>
    <s v="Stim2_Set3"/>
    <m/>
    <s v="yes"/>
    <n v="1"/>
    <n v="1"/>
    <n v="1"/>
    <n v="0"/>
  </r>
  <r>
    <n v="3"/>
    <n v="267"/>
    <n v="2"/>
    <x v="0"/>
    <s v="T"/>
    <s v="switch"/>
    <s v="Stim2_Set3"/>
    <m/>
    <s v="no"/>
    <n v="0"/>
    <n v="0"/>
    <n v="0"/>
    <n v="0"/>
  </r>
  <r>
    <n v="3"/>
    <n v="268"/>
    <n v="1"/>
    <x v="1"/>
    <s v="F"/>
    <s v="filler"/>
    <s v="Stim8_Set2"/>
    <m/>
    <m/>
    <n v="0"/>
    <n v="0"/>
    <n v="1"/>
    <n v="0"/>
  </r>
  <r>
    <n v="3"/>
    <n v="269"/>
    <n v="2"/>
    <x v="0"/>
    <s v="NT"/>
    <s v="nontarget"/>
    <s v="Stim6_Set3"/>
    <m/>
    <s v="yes"/>
    <n v="0"/>
    <n v="1"/>
    <n v="0"/>
    <n v="1"/>
  </r>
  <r>
    <n v="3"/>
    <n v="270"/>
    <n v="2"/>
    <x v="0"/>
    <s v="T"/>
    <s v="repeat"/>
    <s v="Stim6_Set3"/>
    <m/>
    <s v="no"/>
    <n v="1"/>
    <n v="0"/>
    <n v="0"/>
    <n v="0"/>
  </r>
  <r>
    <n v="3"/>
    <n v="271"/>
    <n v="1"/>
    <x v="1"/>
    <s v="F"/>
    <s v="filler"/>
    <s v="Stim2_Set2"/>
    <m/>
    <m/>
    <n v="0"/>
    <n v="0"/>
    <n v="1"/>
    <n v="0"/>
  </r>
  <r>
    <n v="3"/>
    <n v="272"/>
    <n v="1"/>
    <x v="1"/>
    <s v="F"/>
    <s v="filler"/>
    <s v="Stim1_Set2"/>
    <m/>
    <s v="yes"/>
    <n v="1"/>
    <n v="0"/>
    <n v="0"/>
    <n v="1"/>
  </r>
  <r>
    <n v="3"/>
    <n v="273"/>
    <n v="2"/>
    <x v="0"/>
    <s v="NT"/>
    <s v="nontarget"/>
    <s v="Stim8_Set3"/>
    <m/>
    <s v="yes"/>
    <n v="0"/>
    <n v="1"/>
    <n v="0"/>
    <n v="1"/>
  </r>
  <r>
    <n v="3"/>
    <n v="274"/>
    <n v="2"/>
    <x v="0"/>
    <s v="T"/>
    <s v="repeat"/>
    <s v="Stim8_Set3"/>
    <m/>
    <s v="no"/>
    <n v="1"/>
    <n v="0"/>
    <n v="0"/>
    <n v="0"/>
  </r>
  <r>
    <n v="3"/>
    <n v="275"/>
    <n v="2"/>
    <x v="0"/>
    <s v="NT"/>
    <s v="nontarget"/>
    <s v="Stim5_Set3"/>
    <m/>
    <s v="yes"/>
    <n v="1"/>
    <n v="1"/>
    <n v="1"/>
    <n v="0"/>
  </r>
  <r>
    <n v="3"/>
    <n v="276"/>
    <n v="1"/>
    <x v="1"/>
    <s v="T"/>
    <s v="switch"/>
    <s v="Stim5_Set3"/>
    <m/>
    <s v="no"/>
    <n v="0"/>
    <n v="0"/>
    <n v="0"/>
    <n v="0"/>
  </r>
  <r>
    <n v="3"/>
    <n v="277"/>
    <n v="2"/>
    <x v="0"/>
    <s v="F"/>
    <s v="filler"/>
    <s v="Stim4_Set2"/>
    <m/>
    <m/>
    <n v="0"/>
    <n v="0"/>
    <n v="1"/>
    <n v="0"/>
  </r>
  <r>
    <n v="3"/>
    <n v="278"/>
    <n v="1"/>
    <x v="1"/>
    <s v="F"/>
    <s v="filler"/>
    <s v="Stim5_Set2"/>
    <m/>
    <s v="yes"/>
    <n v="0"/>
    <n v="0"/>
    <n v="0"/>
    <n v="1"/>
  </r>
  <r>
    <n v="3"/>
    <n v="279"/>
    <n v="1"/>
    <x v="1"/>
    <s v="NT"/>
    <s v="nontarget"/>
    <s v="Stim3_Set3"/>
    <m/>
    <s v="yes"/>
    <n v="1"/>
    <n v="1"/>
    <n v="0"/>
    <n v="1"/>
  </r>
  <r>
    <n v="3"/>
    <n v="280"/>
    <n v="1"/>
    <x v="1"/>
    <s v="T"/>
    <s v="repeat"/>
    <s v="Stim3_Set3"/>
    <m/>
    <s v="no"/>
    <n v="1"/>
    <n v="0"/>
    <n v="0"/>
    <n v="0"/>
  </r>
  <r>
    <n v="3"/>
    <n v="281"/>
    <n v="2"/>
    <x v="0"/>
    <s v="F"/>
    <s v="filler"/>
    <s v="Stim3_Set2"/>
    <m/>
    <m/>
    <n v="0"/>
    <n v="0"/>
    <n v="1"/>
    <n v="0"/>
  </r>
  <r>
    <n v="3"/>
    <n v="282"/>
    <n v="1"/>
    <x v="1"/>
    <s v="NT"/>
    <s v="nontarget"/>
    <s v="Stim1_Set3"/>
    <m/>
    <s v="yes"/>
    <n v="0"/>
    <n v="1"/>
    <n v="0"/>
    <n v="1"/>
  </r>
  <r>
    <n v="3"/>
    <n v="283"/>
    <n v="1"/>
    <x v="1"/>
    <s v="T"/>
    <s v="repeat"/>
    <s v="Stim1_Set3"/>
    <m/>
    <s v="no"/>
    <n v="1"/>
    <n v="0"/>
    <n v="0"/>
    <n v="0"/>
  </r>
  <r>
    <n v="3"/>
    <n v="284"/>
    <n v="2"/>
    <x v="0"/>
    <s v="F"/>
    <s v="filler"/>
    <s v="Stim1_Set2"/>
    <m/>
    <m/>
    <n v="0"/>
    <n v="0"/>
    <n v="1"/>
    <n v="0"/>
  </r>
  <r>
    <n v="4"/>
    <n v="285"/>
    <n v="1"/>
    <x v="1"/>
    <s v="NT"/>
    <s v="nontarget"/>
    <s v="Stim4_Set4"/>
    <m/>
    <s v="yes"/>
    <n v="0"/>
    <n v="1"/>
    <n v="0"/>
    <n v="1"/>
  </r>
  <r>
    <n v="4"/>
    <n v="286"/>
    <n v="1"/>
    <x v="1"/>
    <s v="T"/>
    <s v="repeat"/>
    <s v="Stim4_Set4"/>
    <m/>
    <s v="no"/>
    <n v="1"/>
    <n v="0"/>
    <n v="0"/>
    <n v="0"/>
  </r>
  <r>
    <n v="4"/>
    <n v="287"/>
    <n v="2"/>
    <x v="0"/>
    <s v="F"/>
    <s v="filler"/>
    <s v="Stim4_Set3"/>
    <m/>
    <m/>
    <n v="0"/>
    <n v="0"/>
    <n v="1"/>
    <n v="0"/>
  </r>
  <r>
    <n v="4"/>
    <n v="288"/>
    <n v="1"/>
    <x v="1"/>
    <s v="NT"/>
    <s v="nontarget"/>
    <s v="Stim6_Set4"/>
    <m/>
    <s v="yes"/>
    <n v="0"/>
    <n v="1"/>
    <n v="0"/>
    <n v="1"/>
  </r>
  <r>
    <n v="4"/>
    <n v="289"/>
    <n v="2"/>
    <x v="0"/>
    <s v="T"/>
    <s v="switch"/>
    <s v="Stim6_Set4"/>
    <m/>
    <s v="no"/>
    <n v="0"/>
    <n v="0"/>
    <n v="0"/>
    <n v="0"/>
  </r>
  <r>
    <n v="4"/>
    <n v="290"/>
    <n v="2"/>
    <x v="0"/>
    <s v="NT"/>
    <s v="nontarget"/>
    <s v="Stim2_Set3"/>
    <m/>
    <s v="yes"/>
    <n v="1"/>
    <n v="0"/>
    <n v="1"/>
    <n v="0"/>
  </r>
  <r>
    <n v="4"/>
    <n v="291"/>
    <n v="2"/>
    <x v="0"/>
    <s v="T"/>
    <s v="repeat"/>
    <s v="Stim2_Set4"/>
    <m/>
    <s v="no"/>
    <n v="1"/>
    <n v="0"/>
    <n v="0"/>
    <n v="0"/>
  </r>
  <r>
    <n v="4"/>
    <n v="292"/>
    <n v="1"/>
    <x v="1"/>
    <s v="F"/>
    <s v="filler"/>
    <s v="Stim7_Set3"/>
    <m/>
    <m/>
    <n v="0"/>
    <n v="0"/>
    <n v="1"/>
    <n v="0"/>
  </r>
  <r>
    <n v="4"/>
    <n v="293"/>
    <n v="1"/>
    <x v="1"/>
    <s v="F"/>
    <s v="filler"/>
    <s v="Stim1_Set3"/>
    <m/>
    <s v="yes"/>
    <n v="1"/>
    <n v="0"/>
    <n v="0"/>
    <n v="1"/>
  </r>
  <r>
    <n v="4"/>
    <n v="294"/>
    <n v="2"/>
    <x v="0"/>
    <s v="F"/>
    <s v="filler"/>
    <s v="Stim2_Set3"/>
    <m/>
    <s v="yes"/>
    <n v="0"/>
    <n v="0"/>
    <n v="0"/>
    <n v="1"/>
  </r>
  <r>
    <n v="4"/>
    <n v="295"/>
    <n v="2"/>
    <x v="0"/>
    <s v="NT"/>
    <s v="nontarget"/>
    <s v="Stim5_Set4"/>
    <m/>
    <s v="yes"/>
    <n v="1"/>
    <n v="1"/>
    <n v="0"/>
    <n v="1"/>
  </r>
  <r>
    <n v="4"/>
    <n v="296"/>
    <n v="1"/>
    <x v="1"/>
    <s v="T"/>
    <s v="switch"/>
    <s v="Stim5_Set4"/>
    <m/>
    <s v="no"/>
    <n v="0"/>
    <n v="0"/>
    <n v="0"/>
    <n v="0"/>
  </r>
  <r>
    <n v="4"/>
    <n v="297"/>
    <n v="1"/>
    <x v="1"/>
    <s v="NT"/>
    <s v="nontarget"/>
    <s v="Stim1_Set4"/>
    <m/>
    <s v="yes"/>
    <n v="1"/>
    <n v="1"/>
    <n v="1"/>
    <n v="0"/>
  </r>
  <r>
    <n v="4"/>
    <n v="298"/>
    <n v="2"/>
    <x v="0"/>
    <s v="T"/>
    <s v="switch"/>
    <s v="Stim1_Set4"/>
    <m/>
    <s v="no"/>
    <n v="0"/>
    <n v="0"/>
    <n v="0"/>
    <n v="0"/>
  </r>
  <r>
    <n v="4"/>
    <n v="299"/>
    <n v="1"/>
    <x v="1"/>
    <s v="F"/>
    <s v="filler"/>
    <s v="Stim6_Set3"/>
    <m/>
    <m/>
    <n v="0"/>
    <n v="0"/>
    <n v="1"/>
    <n v="0"/>
  </r>
  <r>
    <n v="4"/>
    <n v="300"/>
    <n v="2"/>
    <x v="0"/>
    <s v="NT"/>
    <s v="nontarget"/>
    <s v="Stim8_Set4"/>
    <m/>
    <s v="yes"/>
    <n v="0"/>
    <n v="1"/>
    <n v="0"/>
    <n v="1"/>
  </r>
  <r>
    <n v="4"/>
    <n v="301"/>
    <n v="2"/>
    <x v="0"/>
    <s v="T"/>
    <s v="repeat"/>
    <s v="Stim8_Set4"/>
    <m/>
    <s v="no"/>
    <n v="1"/>
    <n v="0"/>
    <n v="0"/>
    <n v="0"/>
  </r>
  <r>
    <n v="4"/>
    <n v="302"/>
    <n v="1"/>
    <x v="1"/>
    <s v="F"/>
    <s v="filler"/>
    <s v="Stim8_Set3"/>
    <m/>
    <m/>
    <n v="0"/>
    <n v="0"/>
    <n v="1"/>
    <n v="0"/>
  </r>
  <r>
    <n v="4"/>
    <n v="303"/>
    <n v="2"/>
    <x v="0"/>
    <s v="F"/>
    <s v="filler"/>
    <s v="Stim1_Set3"/>
    <m/>
    <s v="yes"/>
    <n v="0"/>
    <n v="0"/>
    <n v="0"/>
    <n v="1"/>
  </r>
  <r>
    <n v="4"/>
    <n v="304"/>
    <n v="2"/>
    <x v="0"/>
    <s v="NT"/>
    <s v="nontarget"/>
    <s v="Stim3_Set4"/>
    <m/>
    <s v="yes"/>
    <n v="1"/>
    <n v="1"/>
    <n v="0"/>
    <n v="1"/>
  </r>
  <r>
    <n v="4"/>
    <n v="305"/>
    <n v="1"/>
    <x v="1"/>
    <s v="T"/>
    <s v="switch"/>
    <s v="Stim3_Set4"/>
    <m/>
    <s v="no"/>
    <n v="0"/>
    <n v="0"/>
    <n v="0"/>
    <n v="0"/>
  </r>
  <r>
    <n v="4"/>
    <n v="306"/>
    <n v="1"/>
    <x v="1"/>
    <s v="F"/>
    <s v="filler"/>
    <s v="Stim5_Set3"/>
    <m/>
    <m/>
    <n v="1"/>
    <n v="0"/>
    <n v="1"/>
    <n v="0"/>
  </r>
  <r>
    <n v="4"/>
    <n v="307"/>
    <n v="2"/>
    <x v="0"/>
    <s v="F"/>
    <s v="filler"/>
    <m/>
    <s v="here"/>
    <s v="yes"/>
    <n v="0"/>
    <n v="0"/>
    <n v="0"/>
    <n v="1"/>
  </r>
  <r>
    <n v="4"/>
    <n v="308"/>
    <n v="1"/>
    <x v="1"/>
    <s v="F"/>
    <s v="filler"/>
    <s v="Stim3_Set3"/>
    <m/>
    <s v="yes"/>
    <n v="0"/>
    <n v="0"/>
    <n v="0"/>
    <n v="1"/>
  </r>
  <r>
    <n v="4"/>
    <n v="309"/>
    <n v="1"/>
    <x v="1"/>
    <s v="NT"/>
    <s v="nontarget"/>
    <s v="Stim7_Set4"/>
    <m/>
    <s v="yes"/>
    <n v="1"/>
    <n v="1"/>
    <n v="0"/>
    <n v="1"/>
  </r>
  <r>
    <n v="4"/>
    <n v="310"/>
    <n v="1"/>
    <x v="1"/>
    <s v="T"/>
    <s v="repeat"/>
    <s v="Stim7_Set4"/>
    <m/>
    <s v="no"/>
    <n v="1"/>
    <n v="0"/>
    <n v="0"/>
    <n v="0"/>
  </r>
  <r>
    <s v="BREAK"/>
    <n v="311"/>
    <m/>
    <x v="2"/>
    <s v="break"/>
    <m/>
    <m/>
    <m/>
    <s v="no"/>
    <n v="0"/>
    <n v="0"/>
    <n v="1"/>
    <n v="0"/>
  </r>
  <r>
    <n v="1"/>
    <n v="312"/>
    <n v="2"/>
    <x v="0"/>
    <s v="F"/>
    <s v="filler"/>
    <s v="Stim6_Set4"/>
    <m/>
    <s v="yes"/>
    <n v="0"/>
    <n v="0"/>
    <n v="0"/>
    <n v="0"/>
  </r>
  <r>
    <n v="1"/>
    <n v="313"/>
    <n v="2"/>
    <x v="0"/>
    <s v="NT"/>
    <s v="nontarget"/>
    <s v="Stim5_Set1"/>
    <m/>
    <s v="yes"/>
    <n v="1"/>
    <n v="1"/>
    <n v="0"/>
    <n v="1"/>
  </r>
  <r>
    <n v="1"/>
    <n v="314"/>
    <n v="2"/>
    <x v="0"/>
    <s v="T"/>
    <s v="repeat"/>
    <s v="Stim5_Set1"/>
    <m/>
    <s v="no"/>
    <n v="1"/>
    <n v="0"/>
    <n v="0"/>
    <n v="0"/>
  </r>
  <r>
    <n v="1"/>
    <n v="315"/>
    <n v="1"/>
    <x v="1"/>
    <s v="F"/>
    <s v="filler"/>
    <s v="Stim3_Set4"/>
    <m/>
    <m/>
    <n v="0"/>
    <n v="0"/>
    <n v="1"/>
    <n v="0"/>
  </r>
  <r>
    <n v="1"/>
    <n v="316"/>
    <n v="1"/>
    <x v="1"/>
    <s v="F"/>
    <s v="filler"/>
    <s v="Stim4_Set4"/>
    <m/>
    <s v="yes"/>
    <n v="1"/>
    <n v="0"/>
    <n v="0"/>
    <n v="1"/>
  </r>
  <r>
    <n v="1"/>
    <n v="317"/>
    <n v="1"/>
    <x v="1"/>
    <s v="F"/>
    <s v="filler"/>
    <s v="Stim1_Set4"/>
    <m/>
    <m/>
    <n v="1"/>
    <n v="0"/>
    <n v="0"/>
    <n v="1"/>
  </r>
  <r>
    <n v="1"/>
    <n v="318"/>
    <n v="2"/>
    <x v="0"/>
    <s v="NT"/>
    <s v="nontarget"/>
    <s v="Stim8_Set1"/>
    <m/>
    <s v="yes"/>
    <n v="0"/>
    <n v="1"/>
    <n v="0"/>
    <n v="1"/>
  </r>
  <r>
    <n v="1"/>
    <n v="319"/>
    <n v="2"/>
    <x v="0"/>
    <s v="T"/>
    <s v="repeat"/>
    <s v="Stim8_Set1"/>
    <m/>
    <s v="no"/>
    <n v="1"/>
    <n v="0"/>
    <n v="0"/>
    <n v="0"/>
  </r>
  <r>
    <n v="1"/>
    <n v="320"/>
    <n v="1"/>
    <x v="1"/>
    <s v="F"/>
    <s v="filler"/>
    <s v="Stim8_Set4"/>
    <m/>
    <m/>
    <n v="0"/>
    <n v="0"/>
    <n v="1"/>
    <n v="0"/>
  </r>
  <r>
    <n v="1"/>
    <n v="321"/>
    <n v="2"/>
    <x v="0"/>
    <s v="NT"/>
    <s v="nontarget"/>
    <s v="Stim7_Set1"/>
    <m/>
    <s v="yes"/>
    <n v="0"/>
    <n v="1"/>
    <n v="0"/>
    <n v="1"/>
  </r>
  <r>
    <n v="1"/>
    <n v="322"/>
    <n v="1"/>
    <x v="1"/>
    <s v="T"/>
    <s v="switch"/>
    <s v="Stim7_Set1"/>
    <m/>
    <s v="no"/>
    <n v="0"/>
    <n v="0"/>
    <n v="0"/>
    <n v="0"/>
  </r>
  <r>
    <n v="1"/>
    <n v="323"/>
    <n v="1"/>
    <x v="1"/>
    <s v="F"/>
    <s v="filler"/>
    <s v="Stim4_Set4"/>
    <m/>
    <m/>
    <n v="1"/>
    <n v="0"/>
    <n v="1"/>
    <n v="0"/>
  </r>
  <r>
    <n v="1"/>
    <n v="324"/>
    <n v="1"/>
    <x v="1"/>
    <s v="NT"/>
    <s v="nontarget"/>
    <s v="Stim3_Set1"/>
    <m/>
    <s v="yes"/>
    <n v="1"/>
    <n v="1"/>
    <n v="0"/>
    <n v="1"/>
  </r>
  <r>
    <n v="1"/>
    <n v="325"/>
    <n v="2"/>
    <x v="0"/>
    <s v="T"/>
    <s v="switch"/>
    <s v="Stim3_Set1"/>
    <m/>
    <s v="no"/>
    <n v="0"/>
    <n v="0"/>
    <n v="0"/>
    <n v="0"/>
  </r>
  <r>
    <n v="1"/>
    <n v="326"/>
    <n v="2"/>
    <x v="0"/>
    <s v="NT"/>
    <s v="nontarget"/>
    <s v="Stim2_Set1"/>
    <m/>
    <s v="yes"/>
    <n v="1"/>
    <n v="1"/>
    <n v="1"/>
    <n v="0"/>
  </r>
  <r>
    <n v="1"/>
    <n v="327"/>
    <n v="1"/>
    <x v="1"/>
    <s v="T"/>
    <s v="switch"/>
    <s v="Stim2_Set1"/>
    <m/>
    <s v="no"/>
    <n v="0"/>
    <n v="0"/>
    <n v="0"/>
    <n v="0"/>
  </r>
  <r>
    <n v="1"/>
    <n v="328"/>
    <n v="1"/>
    <x v="1"/>
    <s v="F"/>
    <s v="filler"/>
    <s v="Stim7_Set4"/>
    <m/>
    <m/>
    <n v="1"/>
    <n v="0"/>
    <n v="1"/>
    <n v="0"/>
  </r>
  <r>
    <n v="1"/>
    <n v="329"/>
    <n v="2"/>
    <x v="0"/>
    <s v="F"/>
    <s v="filler"/>
    <s v="Stim5_Set4"/>
    <m/>
    <s v="yes"/>
    <n v="0"/>
    <n v="0"/>
    <n v="0"/>
    <n v="1"/>
  </r>
  <r>
    <n v="1"/>
    <n v="330"/>
    <n v="1"/>
    <x v="1"/>
    <s v="NT"/>
    <s v="nontarget"/>
    <s v="Stim4_Set1"/>
    <m/>
    <s v="yes"/>
    <n v="0"/>
    <n v="1"/>
    <n v="0"/>
    <n v="1"/>
  </r>
  <r>
    <n v="1"/>
    <n v="331"/>
    <n v="1"/>
    <x v="1"/>
    <s v="T"/>
    <s v="repeat"/>
    <s v="Stim4_Set1"/>
    <m/>
    <s v="no"/>
    <n v="1"/>
    <n v="0"/>
    <n v="0"/>
    <n v="0"/>
  </r>
  <r>
    <n v="1"/>
    <n v="332"/>
    <n v="2"/>
    <x v="0"/>
    <s v="F"/>
    <s v="filler"/>
    <s v="Stim2_Set4"/>
    <m/>
    <m/>
    <n v="0"/>
    <n v="0"/>
    <n v="1"/>
    <n v="0"/>
  </r>
  <r>
    <n v="1"/>
    <n v="333"/>
    <n v="1"/>
    <x v="1"/>
    <s v="NT"/>
    <s v="nontarget"/>
    <s v="Stim1_Set1"/>
    <m/>
    <s v="yes"/>
    <n v="0"/>
    <n v="1"/>
    <n v="0"/>
    <n v="1"/>
  </r>
  <r>
    <n v="1"/>
    <n v="334"/>
    <n v="1"/>
    <x v="1"/>
    <s v="T"/>
    <s v="repeat"/>
    <s v="Stim1_Set1"/>
    <m/>
    <s v="no"/>
    <n v="1"/>
    <n v="0"/>
    <n v="0"/>
    <n v="0"/>
  </r>
  <r>
    <n v="1"/>
    <n v="335"/>
    <n v="1"/>
    <x v="1"/>
    <s v="NT"/>
    <s v="nontarget"/>
    <s v="Stim6_Set1"/>
    <m/>
    <s v="yes"/>
    <n v="1"/>
    <n v="1"/>
    <n v="1"/>
    <n v="0"/>
  </r>
  <r>
    <n v="1"/>
    <n v="336"/>
    <n v="2"/>
    <x v="0"/>
    <s v="T"/>
    <s v="switch"/>
    <s v="Stim6_Set1"/>
    <m/>
    <s v="no"/>
    <n v="0"/>
    <n v="0"/>
    <n v="0"/>
    <n v="0"/>
  </r>
  <r>
    <n v="2"/>
    <n v="337"/>
    <n v="1"/>
    <x v="1"/>
    <s v="F"/>
    <s v="filler"/>
    <s v="Stim5_Set1"/>
    <m/>
    <m/>
    <n v="0"/>
    <n v="0"/>
    <n v="1"/>
    <n v="0"/>
  </r>
  <r>
    <n v="2"/>
    <n v="338"/>
    <n v="1"/>
    <x v="1"/>
    <s v="NT"/>
    <s v="nontarget"/>
    <s v="Stim8_Set2"/>
    <m/>
    <s v="yes"/>
    <n v="1"/>
    <n v="1"/>
    <n v="0"/>
    <n v="1"/>
  </r>
  <r>
    <n v="2"/>
    <n v="339"/>
    <n v="1"/>
    <x v="1"/>
    <s v="T"/>
    <s v="repeat"/>
    <s v="Stim8_Set2"/>
    <m/>
    <s v="no"/>
    <n v="1"/>
    <n v="0"/>
    <n v="0"/>
    <n v="0"/>
  </r>
  <r>
    <n v="2"/>
    <n v="340"/>
    <n v="2"/>
    <x v="0"/>
    <s v="F"/>
    <s v="filler"/>
    <s v="Stim1_Set1"/>
    <m/>
    <m/>
    <n v="0"/>
    <n v="0"/>
    <n v="1"/>
    <n v="0"/>
  </r>
  <r>
    <n v="2"/>
    <m/>
    <n v="2"/>
    <x v="0"/>
    <s v="F"/>
    <s v="filler"/>
    <s v="Stim2_Set1"/>
    <m/>
    <s v="yes"/>
    <n v="1"/>
    <n v="0"/>
    <n v="0"/>
    <n v="1"/>
  </r>
  <r>
    <n v="2"/>
    <n v="341"/>
    <n v="1"/>
    <x v="1"/>
    <s v="NT"/>
    <s v="nontarget"/>
    <s v="Stim4_Set2"/>
    <m/>
    <s v="yes"/>
    <n v="0"/>
    <n v="1"/>
    <n v="0"/>
    <n v="1"/>
  </r>
  <r>
    <n v="2"/>
    <n v="342"/>
    <n v="1"/>
    <x v="1"/>
    <s v="T"/>
    <s v="repeat"/>
    <s v="Stim4_Set2"/>
    <m/>
    <s v="no"/>
    <n v="1"/>
    <n v="0"/>
    <n v="0"/>
    <n v="0"/>
  </r>
  <r>
    <n v="2"/>
    <n v="343"/>
    <n v="1"/>
    <x v="1"/>
    <s v="F"/>
    <s v="filler"/>
    <s v="Stim8_Set1"/>
    <m/>
    <m/>
    <n v="1"/>
    <n v="0"/>
    <n v="1"/>
    <n v="0"/>
  </r>
  <r>
    <n v="2"/>
    <n v="344"/>
    <n v="2"/>
    <x v="0"/>
    <s v="F"/>
    <s v="filler"/>
    <m/>
    <s v="here"/>
    <s v="yes"/>
    <n v="0"/>
    <n v="0"/>
    <n v="0"/>
    <n v="1"/>
  </r>
  <r>
    <n v="2"/>
    <n v="345"/>
    <n v="1"/>
    <x v="1"/>
    <s v="F"/>
    <s v="filler"/>
    <s v="Stim7_Set1"/>
    <m/>
    <s v="yes"/>
    <n v="0"/>
    <n v="0"/>
    <n v="0"/>
    <n v="1"/>
  </r>
  <r>
    <n v="2"/>
    <n v="346"/>
    <n v="1"/>
    <x v="1"/>
    <s v="NT"/>
    <s v="nontarget"/>
    <s v="Stim6_Set2"/>
    <m/>
    <s v="yes"/>
    <n v="1"/>
    <n v="1"/>
    <n v="0"/>
    <n v="1"/>
  </r>
  <r>
    <n v="2"/>
    <n v="347"/>
    <n v="1"/>
    <x v="0"/>
    <s v="T"/>
    <s v="switch"/>
    <s v="Stim6_Set2"/>
    <m/>
    <s v="no"/>
    <n v="0"/>
    <n v="0"/>
    <n v="0"/>
    <n v="0"/>
  </r>
  <r>
    <n v="2"/>
    <n v="348"/>
    <n v="2"/>
    <x v="0"/>
    <s v="F"/>
    <s v="filler"/>
    <s v="Stim3_Set1"/>
    <m/>
    <m/>
    <n v="1"/>
    <n v="0"/>
    <n v="1"/>
    <n v="0"/>
  </r>
  <r>
    <n v="2"/>
    <n v="349"/>
    <n v="2"/>
    <x v="0"/>
    <s v="NT"/>
    <s v="nontarget"/>
    <s v="Stim2_Set2"/>
    <m/>
    <s v="yes"/>
    <n v="1"/>
    <n v="1"/>
    <n v="0"/>
    <n v="1"/>
  </r>
  <r>
    <n v="2"/>
    <n v="350"/>
    <n v="1"/>
    <x v="1"/>
    <s v="T"/>
    <s v="switch"/>
    <s v="Stim2_Set2"/>
    <m/>
    <s v="no"/>
    <n v="0"/>
    <n v="0"/>
    <n v="0"/>
    <n v="0"/>
  </r>
  <r>
    <n v="2"/>
    <n v="351"/>
    <n v="1"/>
    <x v="1"/>
    <s v="F"/>
    <s v="filler"/>
    <s v="Stim2_Set1"/>
    <m/>
    <m/>
    <n v="1"/>
    <n v="0"/>
    <n v="1"/>
    <n v="0"/>
  </r>
  <r>
    <n v="2"/>
    <n v="352"/>
    <n v="1"/>
    <x v="1"/>
    <s v="NT"/>
    <s v="nontarget"/>
    <s v="Stim7_Set2"/>
    <m/>
    <s v="yes"/>
    <n v="1"/>
    <n v="1"/>
    <n v="0"/>
    <n v="1"/>
  </r>
  <r>
    <n v="2"/>
    <n v="353"/>
    <n v="2"/>
    <x v="0"/>
    <s v="T"/>
    <s v="switch"/>
    <s v="Stim7_Set2"/>
    <m/>
    <s v="no"/>
    <n v="0"/>
    <n v="0"/>
    <n v="0"/>
    <n v="0"/>
  </r>
  <r>
    <n v="2"/>
    <n v="354"/>
    <n v="2"/>
    <x v="0"/>
    <s v="NT"/>
    <s v="nontarget"/>
    <s v="Stim3_Set2"/>
    <m/>
    <s v="yes"/>
    <n v="1"/>
    <n v="1"/>
    <n v="1"/>
    <n v="0"/>
  </r>
  <r>
    <n v="2"/>
    <n v="355"/>
    <n v="2"/>
    <x v="0"/>
    <s v="T"/>
    <s v="repeat"/>
    <s v="Stim3_Set2"/>
    <m/>
    <s v="no"/>
    <n v="1"/>
    <n v="0"/>
    <n v="0"/>
    <n v="0"/>
  </r>
  <r>
    <n v="2"/>
    <n v="356"/>
    <n v="1"/>
    <x v="1"/>
    <s v="F"/>
    <s v="filler"/>
    <s v="Stim4_Set1"/>
    <m/>
    <m/>
    <n v="0"/>
    <n v="0"/>
    <n v="1"/>
    <n v="0"/>
  </r>
  <r>
    <n v="2"/>
    <n v="357"/>
    <n v="2"/>
    <x v="0"/>
    <s v="NT"/>
    <s v="nontarget"/>
    <s v="Stim5_Set2"/>
    <m/>
    <s v="yes"/>
    <n v="0"/>
    <n v="1"/>
    <n v="0"/>
    <n v="1"/>
  </r>
  <r>
    <n v="2"/>
    <n v="358"/>
    <n v="2"/>
    <x v="0"/>
    <s v="T"/>
    <s v="repeat"/>
    <s v="Stim5_Set2"/>
    <m/>
    <s v="no"/>
    <n v="1"/>
    <n v="0"/>
    <n v="0"/>
    <n v="0"/>
  </r>
  <r>
    <n v="2"/>
    <n v="359"/>
    <n v="1"/>
    <x v="1"/>
    <s v="F"/>
    <s v="filler"/>
    <m/>
    <s v="here"/>
    <m/>
    <n v="0"/>
    <n v="0"/>
    <n v="1"/>
    <n v="0"/>
  </r>
  <r>
    <n v="2"/>
    <n v="360"/>
    <n v="2"/>
    <x v="0"/>
    <s v="F"/>
    <s v="filler"/>
    <s v="Stim6_Set1"/>
    <m/>
    <s v="yes"/>
    <n v="0"/>
    <n v="0"/>
    <n v="0"/>
    <n v="1"/>
  </r>
  <r>
    <n v="2"/>
    <n v="361"/>
    <n v="2"/>
    <x v="0"/>
    <s v="NT"/>
    <s v="nontarget"/>
    <s v="Stim1_Set2"/>
    <m/>
    <s v="yes"/>
    <n v="1"/>
    <n v="1"/>
    <n v="0"/>
    <n v="1"/>
  </r>
  <r>
    <n v="2"/>
    <n v="362"/>
    <n v="1"/>
    <x v="1"/>
    <s v="T"/>
    <s v="switch"/>
    <s v="Stim1_Set2"/>
    <m/>
    <s v="no"/>
    <n v="0"/>
    <n v="0"/>
    <n v="0"/>
    <n v="0"/>
  </r>
  <r>
    <n v="3"/>
    <n v="363"/>
    <n v="1"/>
    <x v="1"/>
    <s v="NT"/>
    <s v="nontarget"/>
    <s v="Stim5_Set3"/>
    <m/>
    <s v="yes"/>
    <n v="1"/>
    <n v="1"/>
    <n v="1"/>
    <n v="0"/>
  </r>
  <r>
    <n v="3"/>
    <n v="364"/>
    <n v="2"/>
    <x v="0"/>
    <s v="T"/>
    <s v="switch"/>
    <s v="Stim5_Set3"/>
    <m/>
    <s v="no"/>
    <n v="0"/>
    <n v="0"/>
    <n v="0"/>
    <n v="0"/>
  </r>
  <r>
    <n v="3"/>
    <n v="365"/>
    <n v="2"/>
    <x v="0"/>
    <s v="F"/>
    <s v="filler"/>
    <s v="Stim8_Set2"/>
    <m/>
    <m/>
    <n v="1"/>
    <n v="0"/>
    <n v="1"/>
    <n v="0"/>
  </r>
  <r>
    <n v="3"/>
    <n v="366"/>
    <n v="2"/>
    <x v="0"/>
    <s v="NT"/>
    <s v="nontarget"/>
    <s v="Stim1_Set3"/>
    <m/>
    <s v="yes"/>
    <n v="1"/>
    <n v="1"/>
    <n v="0"/>
    <n v="1"/>
  </r>
  <r>
    <n v="3"/>
    <n v="367"/>
    <n v="1"/>
    <x v="1"/>
    <s v="T"/>
    <s v="switch"/>
    <s v="Stim1_Set3"/>
    <m/>
    <s v="no"/>
    <n v="0"/>
    <n v="0"/>
    <n v="0"/>
    <n v="0"/>
  </r>
  <r>
    <n v="3"/>
    <n v="368"/>
    <n v="1"/>
    <x v="1"/>
    <s v="F"/>
    <s v="filler"/>
    <s v="Stim4_Set2"/>
    <m/>
    <m/>
    <n v="1"/>
    <n v="0"/>
    <n v="1"/>
    <n v="0"/>
  </r>
  <r>
    <n v="3"/>
    <n v="369"/>
    <n v="1"/>
    <x v="1"/>
    <s v="NT"/>
    <s v="nontarget"/>
    <s v="Stim7_Set3"/>
    <m/>
    <s v="yes"/>
    <n v="1"/>
    <n v="1"/>
    <n v="0"/>
    <n v="1"/>
  </r>
  <r>
    <n v="3"/>
    <n v="370"/>
    <n v="2"/>
    <x v="0"/>
    <s v="T"/>
    <s v="switch"/>
    <s v="Stim7_Set3"/>
    <m/>
    <s v="no"/>
    <n v="0"/>
    <n v="0"/>
    <n v="0"/>
    <n v="0"/>
  </r>
  <r>
    <n v="3"/>
    <n v="371"/>
    <n v="1"/>
    <x v="1"/>
    <s v="F"/>
    <s v="filler"/>
    <s v="Stim6_Set2"/>
    <m/>
    <m/>
    <n v="0"/>
    <n v="0"/>
    <n v="1"/>
    <n v="0"/>
  </r>
  <r>
    <n v="3"/>
    <n v="372"/>
    <n v="1"/>
    <x v="1"/>
    <s v="F"/>
    <s v="filler"/>
    <s v="Stim3_Set2"/>
    <m/>
    <m/>
    <n v="1"/>
    <n v="0"/>
    <n v="0"/>
    <n v="1"/>
  </r>
  <r>
    <n v="3"/>
    <n v="373"/>
    <n v="2"/>
    <x v="0"/>
    <s v="NT"/>
    <s v="nontarget"/>
    <s v="Stim3_Set3"/>
    <m/>
    <s v="yes"/>
    <n v="0"/>
    <n v="1"/>
    <n v="0"/>
    <n v="1"/>
  </r>
  <r>
    <n v="3"/>
    <n v="374"/>
    <n v="2"/>
    <x v="0"/>
    <s v="T"/>
    <s v="repeat"/>
    <s v="Stim3_Set3"/>
    <m/>
    <s v="no"/>
    <n v="1"/>
    <n v="0"/>
    <n v="0"/>
    <n v="0"/>
  </r>
  <r>
    <n v="3"/>
    <n v="375"/>
    <n v="2"/>
    <x v="0"/>
    <s v="F"/>
    <s v="filler"/>
    <s v="Stim2_Set2"/>
    <m/>
    <m/>
    <n v="1"/>
    <n v="0"/>
    <n v="1"/>
    <n v="0"/>
  </r>
  <r>
    <n v="3"/>
    <n v="376"/>
    <n v="1"/>
    <x v="1"/>
    <s v="F"/>
    <s v="filler"/>
    <s v="Stim7_Set2"/>
    <m/>
    <s v="yes"/>
    <n v="0"/>
    <n v="0"/>
    <n v="0"/>
    <n v="1"/>
  </r>
  <r>
    <n v="3"/>
    <n v="377"/>
    <n v="2"/>
    <x v="0"/>
    <s v="NT"/>
    <s v="nontarget"/>
    <s v="Stim2_Set3"/>
    <m/>
    <s v="yes"/>
    <n v="0"/>
    <n v="1"/>
    <n v="0"/>
    <n v="1"/>
  </r>
  <r>
    <n v="3"/>
    <n v="378"/>
    <n v="2"/>
    <x v="0"/>
    <s v="T"/>
    <s v="repeat"/>
    <s v="Stim2_Set3"/>
    <m/>
    <s v="no"/>
    <n v="1"/>
    <n v="0"/>
    <n v="0"/>
    <n v="0"/>
  </r>
  <r>
    <n v="3"/>
    <n v="379"/>
    <n v="2"/>
    <x v="0"/>
    <s v="NT"/>
    <s v="nontarget"/>
    <s v="Stim8_Set3"/>
    <m/>
    <s v="yes"/>
    <n v="1"/>
    <n v="1"/>
    <n v="1"/>
    <n v="0"/>
  </r>
  <r>
    <n v="3"/>
    <n v="380"/>
    <n v="1"/>
    <x v="1"/>
    <s v="T"/>
    <s v="switch"/>
    <s v="Stim8_Set3"/>
    <m/>
    <s v="no"/>
    <n v="0"/>
    <n v="0"/>
    <n v="0"/>
    <n v="0"/>
  </r>
  <r>
    <n v="3"/>
    <n v="381"/>
    <n v="2"/>
    <x v="0"/>
    <s v="F"/>
    <s v="filler"/>
    <s v="Stim5_Set2"/>
    <m/>
    <m/>
    <n v="0"/>
    <n v="0"/>
    <n v="1"/>
    <n v="0"/>
  </r>
  <r>
    <n v="3"/>
    <n v="382"/>
    <n v="2"/>
    <x v="0"/>
    <s v="F"/>
    <s v="filler"/>
    <s v="Stim4_Set2"/>
    <m/>
    <s v="yes"/>
    <n v="1"/>
    <n v="0"/>
    <n v="0"/>
    <n v="1"/>
  </r>
  <r>
    <n v="3"/>
    <n v="383"/>
    <n v="1"/>
    <x v="1"/>
    <s v="F"/>
    <s v="filler"/>
    <s v="Stim3_Set2"/>
    <m/>
    <m/>
    <n v="0"/>
    <n v="0"/>
    <n v="0"/>
    <n v="1"/>
  </r>
  <r>
    <n v="3"/>
    <n v="384"/>
    <n v="1"/>
    <x v="1"/>
    <s v="NT"/>
    <s v="nontarget"/>
    <s v="Stim6_Set3"/>
    <m/>
    <s v="yes"/>
    <n v="1"/>
    <n v="1"/>
    <n v="0"/>
    <n v="1"/>
  </r>
  <r>
    <n v="3"/>
    <n v="385"/>
    <n v="1"/>
    <x v="1"/>
    <s v="T"/>
    <s v="repeat"/>
    <s v="Stim6_Set3"/>
    <m/>
    <s v="no"/>
    <n v="1"/>
    <n v="0"/>
    <n v="0"/>
    <n v="0"/>
  </r>
  <r>
    <n v="3"/>
    <n v="386"/>
    <n v="2"/>
    <x v="0"/>
    <s v="F"/>
    <s v="filler"/>
    <s v="Stim1_Set2"/>
    <m/>
    <m/>
    <n v="0"/>
    <n v="0"/>
    <n v="1"/>
    <n v="0"/>
  </r>
  <r>
    <n v="3"/>
    <n v="387"/>
    <n v="1"/>
    <x v="1"/>
    <s v="NT"/>
    <s v="nontarget"/>
    <s v="Stim4_Set3"/>
    <m/>
    <s v="yes"/>
    <n v="0"/>
    <n v="1"/>
    <n v="0"/>
    <n v="1"/>
  </r>
  <r>
    <n v="3"/>
    <n v="388"/>
    <n v="1"/>
    <x v="1"/>
    <s v="T"/>
    <s v="repeat"/>
    <s v="Stim4_Set3"/>
    <m/>
    <s v="no"/>
    <n v="1"/>
    <n v="0"/>
    <n v="0"/>
    <n v="0"/>
  </r>
  <r>
    <n v="4"/>
    <n v="389"/>
    <n v="1"/>
    <x v="1"/>
    <s v="F"/>
    <s v="filler"/>
    <s v="Stim1_Set3"/>
    <m/>
    <m/>
    <n v="1"/>
    <n v="0"/>
    <n v="1"/>
    <n v="0"/>
  </r>
  <r>
    <n v="4"/>
    <n v="390"/>
    <n v="2"/>
    <x v="0"/>
    <s v="F"/>
    <s v="filler"/>
    <s v="Stim5_Set3"/>
    <m/>
    <s v="yes"/>
    <n v="0"/>
    <n v="0"/>
    <n v="0"/>
    <n v="1"/>
  </r>
  <r>
    <n v="4"/>
    <n v="391"/>
    <n v="2"/>
    <x v="0"/>
    <s v="F"/>
    <s v="filler"/>
    <s v="Stim8_Set3"/>
    <m/>
    <s v="yes"/>
    <n v="1"/>
    <n v="0"/>
    <n v="0"/>
    <n v="1"/>
  </r>
  <r>
    <n v="4"/>
    <n v="392"/>
    <n v="1"/>
    <x v="1"/>
    <s v="NT"/>
    <s v="nontarget"/>
    <s v="Stim6_Set4"/>
    <m/>
    <s v="yes"/>
    <n v="0"/>
    <n v="1"/>
    <n v="0"/>
    <n v="1"/>
  </r>
  <r>
    <n v="4"/>
    <n v="393"/>
    <n v="1"/>
    <x v="1"/>
    <s v="T"/>
    <s v="repeat"/>
    <s v="Stim6_Set4"/>
    <m/>
    <s v="no"/>
    <n v="1"/>
    <n v="0"/>
    <n v="0"/>
    <n v="0"/>
  </r>
  <r>
    <n v="4"/>
    <n v="394"/>
    <n v="1"/>
    <x v="1"/>
    <s v="NT"/>
    <s v="nontarget"/>
    <s v="Stim3_Set4"/>
    <m/>
    <s v="yes"/>
    <n v="1"/>
    <n v="1"/>
    <n v="1"/>
    <n v="0"/>
  </r>
  <r>
    <n v="4"/>
    <n v="395"/>
    <n v="2"/>
    <x v="0"/>
    <s v="T"/>
    <s v="switch"/>
    <s v="Stim3_Set4"/>
    <m/>
    <s v="no"/>
    <n v="0"/>
    <n v="0"/>
    <n v="0"/>
    <n v="0"/>
  </r>
  <r>
    <n v="4"/>
    <n v="396"/>
    <n v="1"/>
    <x v="1"/>
    <s v="F"/>
    <s v="filler"/>
    <s v="Stim7_Set3"/>
    <m/>
    <m/>
    <n v="0"/>
    <n v="0"/>
    <n v="1"/>
    <n v="0"/>
  </r>
  <r>
    <n v="4"/>
    <n v="397"/>
    <n v="2"/>
    <x v="0"/>
    <s v="NT"/>
    <s v="nontarget"/>
    <s v="Stim5_Set4"/>
    <m/>
    <s v="yes"/>
    <n v="0"/>
    <n v="1"/>
    <n v="0"/>
    <n v="1"/>
  </r>
  <r>
    <n v="4"/>
    <n v="398"/>
    <n v="2"/>
    <x v="0"/>
    <s v="T"/>
    <s v="repeat"/>
    <s v="Stim5_Set4"/>
    <m/>
    <s v="no"/>
    <n v="1"/>
    <n v="0"/>
    <n v="0"/>
    <n v="0"/>
  </r>
  <r>
    <n v="4"/>
    <n v="399"/>
    <n v="2"/>
    <x v="0"/>
    <s v="NT"/>
    <s v="nontarget"/>
    <s v="Stim1_Set4"/>
    <m/>
    <s v="yes"/>
    <n v="1"/>
    <n v="1"/>
    <n v="1"/>
    <n v="0"/>
  </r>
  <r>
    <n v="4"/>
    <n v="400"/>
    <n v="1"/>
    <x v="1"/>
    <s v="T"/>
    <s v="switch"/>
    <s v="Stim1_Set4"/>
    <m/>
    <s v="no"/>
    <n v="0"/>
    <n v="0"/>
    <n v="0"/>
    <n v="0"/>
  </r>
  <r>
    <n v="4"/>
    <n v="401"/>
    <n v="2"/>
    <x v="0"/>
    <s v="F"/>
    <s v="filler"/>
    <s v="Stim3_Set3"/>
    <m/>
    <m/>
    <n v="0"/>
    <n v="0"/>
    <n v="1"/>
    <n v="0"/>
  </r>
  <r>
    <n v="4"/>
    <n v="402"/>
    <n v="1"/>
    <x v="1"/>
    <s v="NT"/>
    <s v="nontarget"/>
    <s v="Stim4_Set4"/>
    <m/>
    <s v="yes"/>
    <n v="0"/>
    <n v="1"/>
    <n v="0"/>
    <n v="1"/>
  </r>
  <r>
    <n v="4"/>
    <n v="403"/>
    <n v="2"/>
    <x v="0"/>
    <s v="T"/>
    <s v="switch"/>
    <s v="Stim4_Set4"/>
    <m/>
    <s v="no"/>
    <n v="0"/>
    <n v="0"/>
    <n v="0"/>
    <n v="0"/>
  </r>
  <r>
    <n v="4"/>
    <n v="404"/>
    <n v="1"/>
    <x v="1"/>
    <s v="F"/>
    <s v="filler"/>
    <m/>
    <s v="here"/>
    <m/>
    <n v="0"/>
    <n v="0"/>
    <n v="1"/>
    <n v="0"/>
  </r>
  <r>
    <n v="4"/>
    <n v="405"/>
    <n v="2"/>
    <x v="0"/>
    <s v="F"/>
    <s v="filler"/>
    <s v="Stim2_Set3"/>
    <m/>
    <s v="yes"/>
    <n v="0"/>
    <n v="0"/>
    <n v="0"/>
    <n v="1"/>
  </r>
  <r>
    <n v="4"/>
    <n v="406"/>
    <n v="2"/>
    <x v="0"/>
    <s v="NT"/>
    <s v="nontarget"/>
    <s v="Stim7_Set4"/>
    <m/>
    <s v="yes"/>
    <n v="1"/>
    <n v="1"/>
    <n v="0"/>
    <n v="1"/>
  </r>
  <r>
    <n v="4"/>
    <n v="407"/>
    <n v="2"/>
    <x v="0"/>
    <s v="T"/>
    <s v="repeat"/>
    <s v="Stim7_Set4"/>
    <m/>
    <s v="no"/>
    <n v="1"/>
    <n v="0"/>
    <n v="0"/>
    <n v="0"/>
  </r>
  <r>
    <n v="4"/>
    <n v="408"/>
    <n v="1"/>
    <x v="1"/>
    <s v="F"/>
    <s v="filler"/>
    <s v="Stim8_Set3"/>
    <m/>
    <m/>
    <n v="0"/>
    <n v="0"/>
    <n v="1"/>
    <n v="0"/>
  </r>
  <r>
    <n v="4"/>
    <n v="409"/>
    <n v="2"/>
    <x v="0"/>
    <s v="F"/>
    <s v="filler"/>
    <s v="Stim6_Set3"/>
    <m/>
    <s v="yes"/>
    <n v="0"/>
    <n v="0"/>
    <n v="0"/>
    <n v="1"/>
  </r>
  <r>
    <n v="4"/>
    <n v="410"/>
    <n v="2"/>
    <x v="0"/>
    <s v="NT"/>
    <s v="nontarget"/>
    <s v="Stim8_Set4"/>
    <m/>
    <s v="yes"/>
    <n v="1"/>
    <n v="1"/>
    <n v="0"/>
    <n v="1"/>
  </r>
  <r>
    <n v="4"/>
    <n v="411"/>
    <n v="1"/>
    <x v="1"/>
    <s v="T"/>
    <s v="switch"/>
    <s v="Stim8_Set4"/>
    <m/>
    <s v="no"/>
    <n v="0"/>
    <n v="0"/>
    <n v="0"/>
    <n v="0"/>
  </r>
  <r>
    <n v="4"/>
    <n v="412"/>
    <n v="2"/>
    <x v="0"/>
    <s v="F"/>
    <s v="filler"/>
    <m/>
    <s v="here"/>
    <m/>
    <n v="0"/>
    <n v="0"/>
    <n v="1"/>
    <n v="0"/>
  </r>
  <r>
    <n v="4"/>
    <n v="413"/>
    <n v="1"/>
    <x v="1"/>
    <s v="F"/>
    <s v="filler"/>
    <s v="Stim4_Set3"/>
    <m/>
    <m/>
    <n v="0"/>
    <n v="0"/>
    <n v="0"/>
    <n v="1"/>
  </r>
  <r>
    <n v="4"/>
    <n v="414"/>
    <n v="1"/>
    <x v="1"/>
    <s v="NT"/>
    <s v="nontarget"/>
    <s v="Stim2_Set4"/>
    <m/>
    <s v="yes"/>
    <n v="1"/>
    <n v="1"/>
    <n v="0"/>
    <n v="1"/>
  </r>
  <r>
    <n v="4"/>
    <n v="415"/>
    <n v="1"/>
    <x v="1"/>
    <s v="T"/>
    <s v="repeat"/>
    <s v="Stim2_Set4"/>
    <m/>
    <s v="no"/>
    <n v="1"/>
    <n v="0"/>
    <n v="0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5">
  <r>
    <n v="1"/>
    <n v="1"/>
    <n v="2"/>
    <x v="0"/>
    <x v="0"/>
    <s v="filler"/>
    <x v="0"/>
    <m/>
    <s v="yes"/>
    <n v="0"/>
    <n v="0"/>
    <n v="0"/>
    <n v="0"/>
  </r>
  <r>
    <n v="1"/>
    <n v="2"/>
    <n v="2"/>
    <x v="0"/>
    <x v="1"/>
    <s v="nontarget"/>
    <x v="1"/>
    <m/>
    <s v="yes"/>
    <n v="1"/>
    <n v="1"/>
    <n v="0"/>
    <n v="1"/>
  </r>
  <r>
    <n v="1"/>
    <n v="3"/>
    <n v="2"/>
    <x v="0"/>
    <x v="2"/>
    <s v="repeat"/>
    <x v="1"/>
    <m/>
    <s v="no"/>
    <n v="1"/>
    <n v="0"/>
    <n v="0"/>
    <n v="0"/>
  </r>
  <r>
    <n v="1"/>
    <n v="4"/>
    <n v="1"/>
    <x v="1"/>
    <x v="0"/>
    <s v="filler"/>
    <x v="2"/>
    <m/>
    <m/>
    <n v="0"/>
    <n v="0"/>
    <n v="1"/>
    <n v="0"/>
  </r>
  <r>
    <n v="1"/>
    <n v="5"/>
    <n v="2"/>
    <x v="0"/>
    <x v="1"/>
    <s v="nontarget"/>
    <x v="3"/>
    <m/>
    <s v="yes"/>
    <n v="0"/>
    <n v="1"/>
    <n v="0"/>
    <n v="1"/>
  </r>
  <r>
    <n v="1"/>
    <n v="6"/>
    <n v="2"/>
    <x v="0"/>
    <x v="2"/>
    <s v="repeat"/>
    <x v="3"/>
    <m/>
    <s v="no"/>
    <n v="1"/>
    <n v="0"/>
    <n v="0"/>
    <n v="0"/>
  </r>
  <r>
    <n v="1"/>
    <n v="7"/>
    <n v="1"/>
    <x v="1"/>
    <x v="0"/>
    <s v="filler"/>
    <x v="4"/>
    <m/>
    <m/>
    <n v="0"/>
    <n v="0"/>
    <n v="1"/>
    <n v="0"/>
  </r>
  <r>
    <n v="1"/>
    <n v="8"/>
    <n v="1"/>
    <x v="1"/>
    <x v="0"/>
    <s v="filler"/>
    <x v="5"/>
    <m/>
    <s v="yes"/>
    <n v="1"/>
    <n v="0"/>
    <n v="0"/>
    <n v="1"/>
  </r>
  <r>
    <n v="1"/>
    <n v="9"/>
    <n v="2"/>
    <x v="0"/>
    <x v="1"/>
    <s v="nontarget"/>
    <x v="6"/>
    <m/>
    <s v="yes"/>
    <n v="0"/>
    <n v="1"/>
    <n v="0"/>
    <n v="1"/>
  </r>
  <r>
    <n v="1"/>
    <n v="10"/>
    <n v="1"/>
    <x v="1"/>
    <x v="2"/>
    <s v="switch"/>
    <x v="6"/>
    <m/>
    <s v="no"/>
    <n v="0"/>
    <n v="0"/>
    <n v="0"/>
    <n v="0"/>
  </r>
  <r>
    <n v="1"/>
    <n v="11"/>
    <n v="2"/>
    <x v="0"/>
    <x v="0"/>
    <s v="filler"/>
    <x v="7"/>
    <m/>
    <m/>
    <n v="0"/>
    <n v="0"/>
    <n v="1"/>
    <n v="0"/>
  </r>
  <r>
    <n v="1"/>
    <n v="12"/>
    <n v="1"/>
    <x v="1"/>
    <x v="1"/>
    <s v="nontarget"/>
    <x v="8"/>
    <m/>
    <s v="yes"/>
    <n v="0"/>
    <n v="1"/>
    <n v="0"/>
    <n v="1"/>
  </r>
  <r>
    <n v="1"/>
    <n v="13"/>
    <n v="2"/>
    <x v="0"/>
    <x v="2"/>
    <s v="switch"/>
    <x v="8"/>
    <m/>
    <s v="no"/>
    <n v="0"/>
    <n v="0"/>
    <n v="0"/>
    <n v="0"/>
  </r>
  <r>
    <n v="1"/>
    <n v="14"/>
    <n v="2"/>
    <x v="0"/>
    <x v="0"/>
    <s v="filler"/>
    <x v="9"/>
    <m/>
    <m/>
    <n v="1"/>
    <n v="0"/>
    <n v="1"/>
    <n v="0"/>
  </r>
  <r>
    <n v="1"/>
    <n v="15"/>
    <n v="2"/>
    <x v="0"/>
    <x v="1"/>
    <s v="nontarget"/>
    <x v="10"/>
    <m/>
    <s v="yes"/>
    <n v="1"/>
    <n v="1"/>
    <n v="0"/>
    <n v="1"/>
  </r>
  <r>
    <n v="1"/>
    <n v="16"/>
    <n v="1"/>
    <x v="1"/>
    <x v="2"/>
    <s v="switch"/>
    <x v="10"/>
    <m/>
    <s v="no"/>
    <n v="0"/>
    <n v="0"/>
    <n v="0"/>
    <n v="0"/>
  </r>
  <r>
    <n v="1"/>
    <n v="17"/>
    <n v="2"/>
    <x v="0"/>
    <x v="0"/>
    <s v="filler"/>
    <x v="11"/>
    <m/>
    <m/>
    <n v="0"/>
    <n v="0"/>
    <n v="1"/>
    <n v="0"/>
  </r>
  <r>
    <n v="1"/>
    <n v="18"/>
    <n v="1"/>
    <x v="1"/>
    <x v="1"/>
    <s v="nontarget"/>
    <x v="12"/>
    <m/>
    <s v="yes"/>
    <n v="0"/>
    <n v="1"/>
    <n v="0"/>
    <n v="1"/>
  </r>
  <r>
    <n v="1"/>
    <n v="19"/>
    <n v="1"/>
    <x v="1"/>
    <x v="2"/>
    <s v="repeat"/>
    <x v="12"/>
    <m/>
    <s v="no"/>
    <n v="1"/>
    <n v="0"/>
    <n v="0"/>
    <n v="0"/>
  </r>
  <r>
    <n v="1"/>
    <n v="20"/>
    <n v="1"/>
    <x v="1"/>
    <x v="0"/>
    <s v="filler"/>
    <x v="13"/>
    <m/>
    <m/>
    <n v="1"/>
    <n v="0"/>
    <n v="1"/>
    <n v="0"/>
  </r>
  <r>
    <n v="1"/>
    <n v="21"/>
    <n v="1"/>
    <x v="1"/>
    <x v="1"/>
    <s v="nontarget"/>
    <x v="14"/>
    <m/>
    <s v="yes"/>
    <n v="1"/>
    <n v="1"/>
    <n v="0"/>
    <n v="1"/>
  </r>
  <r>
    <n v="1"/>
    <n v="22"/>
    <n v="1"/>
    <x v="1"/>
    <x v="2"/>
    <s v="repeat"/>
    <x v="14"/>
    <m/>
    <s v="no"/>
    <n v="1"/>
    <n v="0"/>
    <n v="0"/>
    <n v="0"/>
  </r>
  <r>
    <n v="1"/>
    <n v="23"/>
    <n v="2"/>
    <x v="0"/>
    <x v="0"/>
    <s v="filler"/>
    <x v="5"/>
    <m/>
    <m/>
    <n v="0"/>
    <n v="0"/>
    <n v="1"/>
    <n v="0"/>
  </r>
  <r>
    <n v="1"/>
    <n v="24"/>
    <n v="2"/>
    <x v="0"/>
    <x v="0"/>
    <s v="filler"/>
    <x v="4"/>
    <m/>
    <s v="yes"/>
    <n v="1"/>
    <n v="0"/>
    <n v="0"/>
    <n v="1"/>
  </r>
  <r>
    <n v="1"/>
    <n v="25"/>
    <n v="1"/>
    <x v="1"/>
    <x v="0"/>
    <s v="filler"/>
    <x v="15"/>
    <m/>
    <s v="yes"/>
    <n v="0"/>
    <n v="0"/>
    <n v="0"/>
    <n v="1"/>
  </r>
  <r>
    <n v="1"/>
    <n v="26"/>
    <n v="1"/>
    <x v="1"/>
    <x v="1"/>
    <s v="nontarget"/>
    <x v="16"/>
    <m/>
    <s v="yes"/>
    <n v="1"/>
    <n v="1"/>
    <n v="0"/>
    <n v="1"/>
  </r>
  <r>
    <n v="1"/>
    <n v="27"/>
    <n v="2"/>
    <x v="0"/>
    <x v="2"/>
    <s v="switch"/>
    <x v="16"/>
    <m/>
    <s v="no"/>
    <n v="0"/>
    <n v="0"/>
    <n v="0"/>
    <n v="0"/>
  </r>
  <r>
    <n v="2"/>
    <n v="28"/>
    <n v="2"/>
    <x v="0"/>
    <x v="0"/>
    <s v="filler"/>
    <x v="1"/>
    <m/>
    <m/>
    <n v="1"/>
    <n v="0"/>
    <n v="1"/>
    <n v="0"/>
  </r>
  <r>
    <n v="2"/>
    <n v="29"/>
    <n v="1"/>
    <x v="1"/>
    <x v="1"/>
    <s v="nontarget"/>
    <x v="17"/>
    <m/>
    <s v="yes"/>
    <n v="0"/>
    <n v="1"/>
    <n v="0"/>
    <n v="1"/>
  </r>
  <r>
    <n v="2"/>
    <n v="30"/>
    <n v="1"/>
    <x v="1"/>
    <x v="2"/>
    <s v="repeat"/>
    <x v="17"/>
    <m/>
    <s v="no"/>
    <n v="1"/>
    <n v="0"/>
    <n v="0"/>
    <n v="0"/>
  </r>
  <r>
    <n v="2"/>
    <n v="31"/>
    <n v="2"/>
    <x v="0"/>
    <x v="0"/>
    <s v="filler"/>
    <x v="3"/>
    <m/>
    <m/>
    <n v="0"/>
    <n v="0"/>
    <n v="1"/>
    <n v="0"/>
  </r>
  <r>
    <n v="2"/>
    <n v="32"/>
    <n v="1"/>
    <x v="1"/>
    <x v="1"/>
    <s v="nontarget"/>
    <x v="18"/>
    <m/>
    <s v="yes"/>
    <n v="0"/>
    <n v="1"/>
    <n v="0"/>
    <n v="1"/>
  </r>
  <r>
    <n v="2"/>
    <n v="33"/>
    <n v="1"/>
    <x v="1"/>
    <x v="2"/>
    <s v="repeat"/>
    <x v="18"/>
    <m/>
    <s v="no"/>
    <n v="1"/>
    <n v="0"/>
    <n v="0"/>
    <n v="0"/>
  </r>
  <r>
    <n v="2"/>
    <n v="34"/>
    <n v="2"/>
    <x v="0"/>
    <x v="0"/>
    <s v="filler"/>
    <x v="8"/>
    <m/>
    <m/>
    <n v="0"/>
    <n v="0"/>
    <n v="1"/>
    <n v="0"/>
  </r>
  <r>
    <n v="2"/>
    <n v="35"/>
    <n v="2"/>
    <x v="0"/>
    <x v="0"/>
    <s v="filler"/>
    <x v="6"/>
    <m/>
    <s v="yes"/>
    <n v="1"/>
    <n v="0"/>
    <n v="0"/>
    <n v="1"/>
  </r>
  <r>
    <n v="2"/>
    <n v="36"/>
    <n v="1"/>
    <x v="1"/>
    <x v="1"/>
    <s v="nontarget"/>
    <x v="19"/>
    <m/>
    <s v="yes"/>
    <n v="0"/>
    <n v="1"/>
    <n v="0"/>
    <n v="1"/>
  </r>
  <r>
    <n v="2"/>
    <n v="37"/>
    <n v="2"/>
    <x v="0"/>
    <x v="2"/>
    <s v="switch"/>
    <x v="19"/>
    <m/>
    <s v="no"/>
    <n v="0"/>
    <n v="0"/>
    <n v="0"/>
    <n v="0"/>
  </r>
  <r>
    <n v="2"/>
    <n v="38"/>
    <n v="2"/>
    <x v="0"/>
    <x v="1"/>
    <s v="nontarget"/>
    <x v="20"/>
    <m/>
    <s v="yes"/>
    <n v="1"/>
    <n v="1"/>
    <n v="1"/>
    <n v="0"/>
  </r>
  <r>
    <n v="2"/>
    <n v="39"/>
    <n v="1"/>
    <x v="1"/>
    <x v="2"/>
    <s v="switch"/>
    <x v="20"/>
    <m/>
    <s v="no"/>
    <n v="0"/>
    <n v="0"/>
    <n v="0"/>
    <n v="0"/>
  </r>
  <r>
    <n v="2"/>
    <n v="40"/>
    <n v="1"/>
    <x v="1"/>
    <x v="0"/>
    <s v="filler"/>
    <x v="6"/>
    <m/>
    <m/>
    <n v="1"/>
    <n v="0"/>
    <n v="1"/>
    <n v="0"/>
  </r>
  <r>
    <n v="2"/>
    <n v="41"/>
    <n v="1"/>
    <x v="1"/>
    <x v="1"/>
    <s v="nontarget"/>
    <x v="21"/>
    <m/>
    <s v="yes"/>
    <n v="1"/>
    <n v="1"/>
    <n v="0"/>
    <n v="1"/>
  </r>
  <r>
    <n v="2"/>
    <n v="42"/>
    <n v="2"/>
    <x v="0"/>
    <x v="2"/>
    <s v="switch"/>
    <x v="21"/>
    <m/>
    <s v="no"/>
    <n v="0"/>
    <n v="0"/>
    <n v="0"/>
    <n v="0"/>
  </r>
  <r>
    <n v="2"/>
    <n v="43"/>
    <n v="1"/>
    <x v="1"/>
    <x v="0"/>
    <s v="filler"/>
    <x v="14"/>
    <m/>
    <m/>
    <n v="0"/>
    <n v="0"/>
    <n v="1"/>
    <n v="0"/>
  </r>
  <r>
    <n v="2"/>
    <n v="44"/>
    <n v="2"/>
    <x v="0"/>
    <x v="0"/>
    <s v="filler"/>
    <x v="10"/>
    <m/>
    <s v="yes"/>
    <n v="0"/>
    <n v="0"/>
    <n v="0"/>
    <n v="1"/>
  </r>
  <r>
    <n v="2"/>
    <n v="45"/>
    <n v="2"/>
    <x v="0"/>
    <x v="1"/>
    <s v="nontarget"/>
    <x v="22"/>
    <m/>
    <s v="yes"/>
    <n v="1"/>
    <n v="1"/>
    <n v="0"/>
    <n v="1"/>
  </r>
  <r>
    <n v="2"/>
    <n v="46"/>
    <n v="2"/>
    <x v="0"/>
    <x v="2"/>
    <s v="repeat"/>
    <x v="22"/>
    <m/>
    <s v="no"/>
    <n v="1"/>
    <n v="0"/>
    <n v="0"/>
    <n v="0"/>
  </r>
  <r>
    <n v="2"/>
    <n v="47"/>
    <n v="1"/>
    <x v="1"/>
    <x v="0"/>
    <s v="filler"/>
    <x v="12"/>
    <m/>
    <m/>
    <n v="0"/>
    <n v="0"/>
    <n v="1"/>
    <n v="0"/>
  </r>
  <r>
    <n v="2"/>
    <n v="48"/>
    <n v="2"/>
    <x v="0"/>
    <x v="1"/>
    <s v="nontarget"/>
    <x v="23"/>
    <m/>
    <s v="yes"/>
    <n v="0"/>
    <n v="1"/>
    <n v="0"/>
    <n v="1"/>
  </r>
  <r>
    <n v="2"/>
    <n v="49"/>
    <n v="2"/>
    <x v="0"/>
    <x v="2"/>
    <s v="repeat"/>
    <x v="23"/>
    <m/>
    <s v="no"/>
    <n v="1"/>
    <n v="0"/>
    <n v="0"/>
    <n v="0"/>
  </r>
  <r>
    <n v="2"/>
    <n v="50"/>
    <n v="1"/>
    <x v="1"/>
    <x v="0"/>
    <s v="filler"/>
    <x v="0"/>
    <s v="here"/>
    <m/>
    <n v="0"/>
    <n v="0"/>
    <n v="1"/>
    <n v="0"/>
  </r>
  <r>
    <n v="2"/>
    <n v="51"/>
    <n v="1"/>
    <x v="1"/>
    <x v="0"/>
    <s v="filler"/>
    <x v="10"/>
    <m/>
    <s v="yes"/>
    <n v="1"/>
    <n v="1"/>
    <n v="0"/>
    <n v="1"/>
  </r>
  <r>
    <n v="2"/>
    <n v="52"/>
    <n v="2"/>
    <x v="0"/>
    <x v="0"/>
    <s v="filler"/>
    <x v="16"/>
    <m/>
    <s v="yes"/>
    <n v="0"/>
    <n v="0"/>
    <n v="0"/>
    <n v="1"/>
  </r>
  <r>
    <n v="2"/>
    <n v="53"/>
    <n v="2"/>
    <x v="0"/>
    <x v="1"/>
    <s v="nontarget"/>
    <x v="24"/>
    <m/>
    <s v="yes"/>
    <n v="1"/>
    <n v="1"/>
    <n v="0"/>
    <n v="1"/>
  </r>
  <r>
    <n v="2"/>
    <n v="54"/>
    <n v="1"/>
    <x v="1"/>
    <x v="2"/>
    <s v="switch"/>
    <x v="24"/>
    <m/>
    <s v="no"/>
    <n v="0"/>
    <n v="0"/>
    <n v="0"/>
    <n v="0"/>
  </r>
  <r>
    <n v="3"/>
    <n v="55"/>
    <n v="1"/>
    <x v="1"/>
    <x v="1"/>
    <s v="nontarget"/>
    <x v="25"/>
    <m/>
    <s v="yes"/>
    <n v="1"/>
    <n v="1"/>
    <n v="1"/>
    <n v="0"/>
  </r>
  <r>
    <n v="3"/>
    <n v="56"/>
    <n v="2"/>
    <x v="0"/>
    <x v="2"/>
    <s v="switch"/>
    <x v="25"/>
    <m/>
    <s v="no"/>
    <n v="0"/>
    <n v="0"/>
    <n v="0"/>
    <n v="0"/>
  </r>
  <r>
    <n v="3"/>
    <n v="57"/>
    <n v="2"/>
    <x v="0"/>
    <x v="0"/>
    <s v="filler"/>
    <x v="0"/>
    <s v="here"/>
    <m/>
    <n v="1"/>
    <n v="0"/>
    <n v="1"/>
    <n v="0"/>
  </r>
  <r>
    <n v="3"/>
    <n v="58"/>
    <n v="2"/>
    <x v="0"/>
    <x v="1"/>
    <s v="nontarget"/>
    <x v="26"/>
    <m/>
    <s v="yes"/>
    <n v="1"/>
    <n v="1"/>
    <n v="0"/>
    <n v="1"/>
  </r>
  <r>
    <n v="3"/>
    <n v="59"/>
    <n v="1"/>
    <x v="1"/>
    <x v="2"/>
    <s v="switch"/>
    <x v="26"/>
    <m/>
    <s v="no"/>
    <n v="0"/>
    <n v="0"/>
    <n v="0"/>
    <n v="0"/>
  </r>
  <r>
    <n v="3"/>
    <n v="60"/>
    <n v="1"/>
    <x v="1"/>
    <x v="0"/>
    <s v="filler"/>
    <x v="17"/>
    <m/>
    <m/>
    <n v="1"/>
    <n v="0"/>
    <n v="1"/>
    <n v="0"/>
  </r>
  <r>
    <n v="3"/>
    <n v="61"/>
    <n v="1"/>
    <x v="1"/>
    <x v="1"/>
    <s v="nontarget"/>
    <x v="27"/>
    <m/>
    <s v="yes"/>
    <n v="1"/>
    <n v="1"/>
    <n v="0"/>
    <n v="1"/>
  </r>
  <r>
    <n v="3"/>
    <n v="62"/>
    <n v="2"/>
    <x v="0"/>
    <x v="2"/>
    <s v="switch"/>
    <x v="27"/>
    <m/>
    <s v="no"/>
    <n v="0"/>
    <n v="0"/>
    <n v="0"/>
    <n v="0"/>
  </r>
  <r>
    <n v="3"/>
    <n v="63"/>
    <n v="2"/>
    <x v="0"/>
    <x v="0"/>
    <s v="filler"/>
    <x v="18"/>
    <m/>
    <m/>
    <n v="1"/>
    <n v="0"/>
    <n v="1"/>
    <n v="0"/>
  </r>
  <r>
    <n v="3"/>
    <n v="64"/>
    <n v="1"/>
    <x v="1"/>
    <x v="0"/>
    <s v="filler"/>
    <x v="20"/>
    <m/>
    <s v="yes"/>
    <n v="0"/>
    <n v="0"/>
    <n v="0"/>
    <n v="1"/>
  </r>
  <r>
    <n v="3"/>
    <n v="65"/>
    <n v="2"/>
    <x v="0"/>
    <x v="1"/>
    <s v="nontarget"/>
    <x v="28"/>
    <m/>
    <s v="yes"/>
    <n v="0"/>
    <n v="1"/>
    <n v="0"/>
    <n v="1"/>
  </r>
  <r>
    <n v="3"/>
    <n v="66"/>
    <n v="2"/>
    <x v="0"/>
    <x v="2"/>
    <s v="repeat"/>
    <x v="28"/>
    <m/>
    <s v="no"/>
    <n v="1"/>
    <n v="0"/>
    <n v="0"/>
    <n v="0"/>
  </r>
  <r>
    <n v="3"/>
    <n v="67"/>
    <n v="1"/>
    <x v="1"/>
    <x v="0"/>
    <s v="filler"/>
    <x v="19"/>
    <m/>
    <m/>
    <n v="0"/>
    <n v="0"/>
    <n v="1"/>
    <n v="0"/>
  </r>
  <r>
    <n v="3"/>
    <n v="68"/>
    <n v="2"/>
    <x v="0"/>
    <x v="0"/>
    <s v="filler"/>
    <x v="21"/>
    <m/>
    <s v="yes"/>
    <n v="0"/>
    <n v="0"/>
    <n v="0"/>
    <n v="1"/>
  </r>
  <r>
    <n v="3"/>
    <n v="69"/>
    <n v="2"/>
    <x v="0"/>
    <x v="1"/>
    <s v="nontarget"/>
    <x v="29"/>
    <m/>
    <s v="yes"/>
    <n v="1"/>
    <n v="1"/>
    <n v="0"/>
    <n v="1"/>
  </r>
  <r>
    <n v="3"/>
    <n v="70"/>
    <n v="2"/>
    <x v="0"/>
    <x v="2"/>
    <s v="repeat"/>
    <x v="29"/>
    <m/>
    <s v="no"/>
    <n v="1"/>
    <n v="0"/>
    <n v="0"/>
    <n v="0"/>
  </r>
  <r>
    <n v="3"/>
    <n v="71"/>
    <n v="1"/>
    <x v="1"/>
    <x v="0"/>
    <s v="filler"/>
    <x v="0"/>
    <s v="here"/>
    <m/>
    <n v="0"/>
    <n v="0"/>
    <n v="1"/>
    <n v="0"/>
  </r>
  <r>
    <n v="3"/>
    <n v="72"/>
    <n v="1"/>
    <x v="1"/>
    <x v="0"/>
    <s v="filler"/>
    <x v="18"/>
    <m/>
    <s v="yes"/>
    <n v="1"/>
    <n v="0"/>
    <n v="0"/>
    <n v="1"/>
  </r>
  <r>
    <n v="3"/>
    <n v="73"/>
    <n v="2"/>
    <x v="0"/>
    <x v="1"/>
    <s v="nontarget"/>
    <x v="30"/>
    <m/>
    <s v="yes"/>
    <n v="0"/>
    <n v="1"/>
    <n v="0"/>
    <n v="1"/>
  </r>
  <r>
    <n v="3"/>
    <n v="74"/>
    <n v="1"/>
    <x v="1"/>
    <x v="2"/>
    <s v="switch"/>
    <x v="30"/>
    <m/>
    <s v="no"/>
    <n v="0"/>
    <n v="0"/>
    <n v="0"/>
    <n v="0"/>
  </r>
  <r>
    <n v="3"/>
    <n v="75"/>
    <n v="2"/>
    <x v="0"/>
    <x v="0"/>
    <s v="filler"/>
    <x v="22"/>
    <m/>
    <m/>
    <n v="0"/>
    <n v="0"/>
    <n v="1"/>
    <n v="0"/>
  </r>
  <r>
    <n v="3"/>
    <n v="76"/>
    <n v="1"/>
    <x v="1"/>
    <x v="1"/>
    <s v="nontarget"/>
    <x v="31"/>
    <m/>
    <s v="yes"/>
    <n v="0"/>
    <n v="1"/>
    <n v="0"/>
    <n v="1"/>
  </r>
  <r>
    <n v="3"/>
    <n v="77"/>
    <n v="1"/>
    <x v="1"/>
    <x v="2"/>
    <s v="repeat"/>
    <x v="31"/>
    <m/>
    <s v="no"/>
    <n v="1"/>
    <n v="0"/>
    <n v="0"/>
    <n v="0"/>
  </r>
  <r>
    <n v="3"/>
    <n v="78"/>
    <n v="2"/>
    <x v="0"/>
    <x v="0"/>
    <s v="filler"/>
    <x v="23"/>
    <m/>
    <m/>
    <n v="0"/>
    <n v="0"/>
    <n v="1"/>
    <n v="0"/>
  </r>
  <r>
    <n v="3"/>
    <n v="79"/>
    <n v="1"/>
    <x v="1"/>
    <x v="0"/>
    <s v="filler"/>
    <x v="24"/>
    <m/>
    <m/>
    <n v="0"/>
    <n v="0"/>
    <n v="0"/>
    <n v="1"/>
  </r>
  <r>
    <n v="3"/>
    <n v="80"/>
    <n v="1"/>
    <x v="1"/>
    <x v="1"/>
    <s v="nontarget"/>
    <x v="32"/>
    <m/>
    <s v="yes"/>
    <n v="1"/>
    <n v="1"/>
    <n v="0"/>
    <n v="1"/>
  </r>
  <r>
    <n v="3"/>
    <n v="81"/>
    <n v="1"/>
    <x v="1"/>
    <x v="2"/>
    <s v="repeat"/>
    <x v="32"/>
    <m/>
    <s v="no"/>
    <n v="1"/>
    <n v="0"/>
    <n v="0"/>
    <n v="0"/>
  </r>
  <r>
    <n v="4"/>
    <n v="82"/>
    <n v="2"/>
    <x v="0"/>
    <x v="0"/>
    <s v="filler"/>
    <x v="25"/>
    <m/>
    <m/>
    <n v="0"/>
    <n v="0"/>
    <n v="1"/>
    <n v="0"/>
  </r>
  <r>
    <n v="4"/>
    <n v="83"/>
    <n v="1"/>
    <x v="1"/>
    <x v="1"/>
    <s v="nontarget"/>
    <x v="2"/>
    <m/>
    <s v="yes"/>
    <n v="0"/>
    <n v="1"/>
    <n v="0"/>
    <n v="1"/>
  </r>
  <r>
    <n v="4"/>
    <n v="84"/>
    <n v="1"/>
    <x v="1"/>
    <x v="2"/>
    <s v="repeat"/>
    <x v="2"/>
    <m/>
    <s v="no"/>
    <n v="1"/>
    <n v="0"/>
    <n v="0"/>
    <n v="0"/>
  </r>
  <r>
    <n v="4"/>
    <n v="85"/>
    <n v="1"/>
    <x v="1"/>
    <x v="1"/>
    <s v="nontarget"/>
    <x v="4"/>
    <m/>
    <s v="yes"/>
    <n v="1"/>
    <n v="1"/>
    <n v="1"/>
    <n v="0"/>
  </r>
  <r>
    <n v="4"/>
    <n v="86"/>
    <n v="2"/>
    <x v="0"/>
    <x v="2"/>
    <s v="switch"/>
    <x v="4"/>
    <m/>
    <s v="no"/>
    <n v="0"/>
    <n v="0"/>
    <n v="0"/>
    <n v="0"/>
  </r>
  <r>
    <n v="4"/>
    <n v="87"/>
    <n v="2"/>
    <x v="0"/>
    <x v="0"/>
    <s v="filler"/>
    <x v="27"/>
    <m/>
    <m/>
    <n v="1"/>
    <n v="0"/>
    <n v="1"/>
    <n v="0"/>
  </r>
  <r>
    <n v="4"/>
    <n v="88"/>
    <n v="1"/>
    <x v="1"/>
    <x v="0"/>
    <s v="filler"/>
    <x v="26"/>
    <m/>
    <s v="yes"/>
    <n v="0"/>
    <n v="0"/>
    <n v="0"/>
    <n v="1"/>
  </r>
  <r>
    <n v="4"/>
    <n v="89"/>
    <n v="2"/>
    <x v="0"/>
    <x v="1"/>
    <s v="nontarget"/>
    <x v="9"/>
    <m/>
    <s v="yes"/>
    <n v="0"/>
    <n v="1"/>
    <n v="0"/>
    <n v="1"/>
  </r>
  <r>
    <n v="4"/>
    <n v="90"/>
    <n v="2"/>
    <x v="0"/>
    <x v="2"/>
    <s v="repeat"/>
    <x v="9"/>
    <m/>
    <s v="no"/>
    <n v="1"/>
    <n v="0"/>
    <n v="0"/>
    <n v="0"/>
  </r>
  <r>
    <n v="4"/>
    <n v="91"/>
    <n v="2"/>
    <x v="0"/>
    <x v="1"/>
    <s v="nontarget"/>
    <x v="11"/>
    <m/>
    <s v="yes"/>
    <n v="1"/>
    <n v="1"/>
    <n v="1"/>
    <n v="0"/>
  </r>
  <r>
    <n v="4"/>
    <n v="92"/>
    <n v="1"/>
    <x v="1"/>
    <x v="2"/>
    <s v="switch"/>
    <x v="11"/>
    <m/>
    <s v="no"/>
    <n v="0"/>
    <n v="0"/>
    <n v="0"/>
    <n v="0"/>
  </r>
  <r>
    <n v="4"/>
    <n v="93"/>
    <n v="2"/>
    <x v="0"/>
    <x v="0"/>
    <s v="filler"/>
    <x v="28"/>
    <m/>
    <m/>
    <n v="0"/>
    <n v="0"/>
    <n v="1"/>
    <n v="0"/>
  </r>
  <r>
    <n v="4"/>
    <n v="94"/>
    <n v="2"/>
    <x v="0"/>
    <x v="0"/>
    <s v="filler"/>
    <x v="30"/>
    <m/>
    <s v="yes"/>
    <n v="1"/>
    <n v="0"/>
    <n v="0"/>
    <n v="1"/>
  </r>
  <r>
    <n v="4"/>
    <n v="95"/>
    <n v="1"/>
    <x v="1"/>
    <x v="0"/>
    <s v="filler"/>
    <x v="29"/>
    <m/>
    <s v="yes"/>
    <n v="0"/>
    <n v="0"/>
    <n v="0"/>
    <n v="1"/>
  </r>
  <r>
    <n v="4"/>
    <n v="96"/>
    <n v="1"/>
    <x v="1"/>
    <x v="1"/>
    <s v="nontarget"/>
    <x v="7"/>
    <m/>
    <s v="yes"/>
    <n v="1"/>
    <n v="1"/>
    <n v="0"/>
    <n v="1"/>
  </r>
  <r>
    <n v="4"/>
    <n v="97"/>
    <n v="2"/>
    <x v="0"/>
    <x v="2"/>
    <s v="switch"/>
    <x v="7"/>
    <m/>
    <s v="no"/>
    <n v="0"/>
    <n v="0"/>
    <n v="0"/>
    <n v="0"/>
  </r>
  <r>
    <n v="4"/>
    <n v="98"/>
    <n v="2"/>
    <x v="0"/>
    <x v="1"/>
    <s v="nontarget"/>
    <x v="5"/>
    <m/>
    <s v="yes"/>
    <n v="1"/>
    <n v="1"/>
    <n v="1"/>
    <n v="0"/>
  </r>
  <r>
    <n v="4"/>
    <n v="99"/>
    <n v="2"/>
    <x v="0"/>
    <x v="2"/>
    <s v="repeat"/>
    <x v="5"/>
    <m/>
    <s v="no"/>
    <n v="1"/>
    <n v="0"/>
    <n v="0"/>
    <n v="0"/>
  </r>
  <r>
    <n v="4"/>
    <n v="100"/>
    <n v="1"/>
    <x v="1"/>
    <x v="0"/>
    <s v="filler"/>
    <x v="0"/>
    <s v="here"/>
    <m/>
    <n v="0"/>
    <n v="0"/>
    <n v="1"/>
    <n v="0"/>
  </r>
  <r>
    <n v="4"/>
    <n v="101"/>
    <n v="2"/>
    <x v="0"/>
    <x v="0"/>
    <s v="filler"/>
    <x v="31"/>
    <m/>
    <s v="yes"/>
    <n v="0"/>
    <n v="0"/>
    <n v="0"/>
    <n v="1"/>
  </r>
  <r>
    <n v="4"/>
    <n v="102"/>
    <n v="2"/>
    <x v="0"/>
    <x v="1"/>
    <s v="nontarget"/>
    <x v="13"/>
    <m/>
    <s v="yes"/>
    <n v="1"/>
    <n v="1"/>
    <n v="0"/>
    <n v="1"/>
  </r>
  <r>
    <n v="4"/>
    <n v="103"/>
    <n v="1"/>
    <x v="1"/>
    <x v="2"/>
    <s v="switch"/>
    <x v="13"/>
    <m/>
    <s v="no"/>
    <n v="0"/>
    <n v="0"/>
    <n v="0"/>
    <n v="0"/>
  </r>
  <r>
    <n v="4"/>
    <n v="104"/>
    <n v="1"/>
    <x v="1"/>
    <x v="1"/>
    <s v="nontarget"/>
    <x v="15"/>
    <m/>
    <s v="yes"/>
    <n v="1"/>
    <n v="1"/>
    <n v="1"/>
    <n v="0"/>
  </r>
  <r>
    <n v="4"/>
    <n v="105"/>
    <n v="1"/>
    <x v="1"/>
    <x v="2"/>
    <s v="repeat"/>
    <x v="15"/>
    <m/>
    <s v="no"/>
    <n v="1"/>
    <n v="0"/>
    <n v="0"/>
    <n v="0"/>
  </r>
  <r>
    <n v="4"/>
    <n v="106"/>
    <n v="1"/>
    <x v="0"/>
    <x v="0"/>
    <s v="filler"/>
    <x v="32"/>
    <m/>
    <m/>
    <n v="0"/>
    <n v="0"/>
    <n v="1"/>
    <n v="0"/>
  </r>
  <r>
    <n v="4"/>
    <n v="107"/>
    <n v="1"/>
    <x v="1"/>
    <x v="0"/>
    <s v="filler"/>
    <x v="30"/>
    <m/>
    <s v="yes"/>
    <n v="0"/>
    <n v="0"/>
    <n v="0"/>
    <n v="1"/>
  </r>
  <r>
    <s v="BREAK"/>
    <n v="108"/>
    <m/>
    <x v="2"/>
    <x v="3"/>
    <m/>
    <x v="0"/>
    <m/>
    <s v="no"/>
    <n v="0"/>
    <n v="0"/>
    <n v="0"/>
    <n v="1"/>
  </r>
  <r>
    <n v="1"/>
    <n v="109"/>
    <n v="2"/>
    <x v="0"/>
    <x v="1"/>
    <s v="nontarget"/>
    <x v="8"/>
    <m/>
    <s v="yes"/>
    <n v="0"/>
    <n v="1"/>
    <n v="0"/>
    <n v="0"/>
  </r>
  <r>
    <n v="1"/>
    <n v="110"/>
    <n v="2"/>
    <x v="0"/>
    <x v="2"/>
    <s v="repeat"/>
    <x v="8"/>
    <m/>
    <s v="no"/>
    <n v="1"/>
    <n v="0"/>
    <n v="0"/>
    <n v="0"/>
  </r>
  <r>
    <n v="1"/>
    <n v="111"/>
    <n v="1"/>
    <x v="1"/>
    <x v="0"/>
    <s v="filler"/>
    <x v="9"/>
    <m/>
    <m/>
    <n v="0"/>
    <n v="0"/>
    <n v="1"/>
    <n v="0"/>
  </r>
  <r>
    <n v="1"/>
    <n v="112"/>
    <n v="2"/>
    <x v="0"/>
    <x v="1"/>
    <s v="nontarget"/>
    <x v="6"/>
    <m/>
    <s v="yes"/>
    <n v="0"/>
    <n v="1"/>
    <n v="0"/>
    <n v="1"/>
  </r>
  <r>
    <n v="1"/>
    <n v="113"/>
    <n v="2"/>
    <x v="0"/>
    <x v="2"/>
    <s v="repeat"/>
    <x v="6"/>
    <m/>
    <s v="no"/>
    <n v="1"/>
    <n v="0"/>
    <n v="0"/>
    <n v="0"/>
  </r>
  <r>
    <n v="1"/>
    <n v="114"/>
    <n v="1"/>
    <x v="1"/>
    <x v="0"/>
    <s v="filler"/>
    <x v="0"/>
    <s v="here"/>
    <m/>
    <n v="0"/>
    <n v="0"/>
    <n v="1"/>
    <n v="0"/>
  </r>
  <r>
    <n v="1"/>
    <n v="115"/>
    <n v="2"/>
    <x v="0"/>
    <x v="0"/>
    <s v="filler"/>
    <x v="15"/>
    <m/>
    <s v="yes"/>
    <n v="0"/>
    <n v="0"/>
    <n v="0"/>
    <n v="1"/>
  </r>
  <r>
    <n v="1"/>
    <n v="116"/>
    <n v="2"/>
    <x v="0"/>
    <x v="1"/>
    <s v="nontarget"/>
    <x v="12"/>
    <m/>
    <s v="yes"/>
    <n v="1"/>
    <n v="1"/>
    <n v="0"/>
    <n v="1"/>
  </r>
  <r>
    <n v="1"/>
    <n v="117"/>
    <n v="1"/>
    <x v="1"/>
    <x v="2"/>
    <s v="switch"/>
    <x v="12"/>
    <m/>
    <s v="no"/>
    <n v="0"/>
    <n v="0"/>
    <n v="0"/>
    <n v="0"/>
  </r>
  <r>
    <n v="1"/>
    <n v="118"/>
    <n v="1"/>
    <x v="1"/>
    <x v="0"/>
    <s v="filler"/>
    <x v="11"/>
    <m/>
    <m/>
    <n v="1"/>
    <n v="0"/>
    <n v="1"/>
    <n v="0"/>
  </r>
  <r>
    <n v="1"/>
    <n v="119"/>
    <n v="1"/>
    <x v="1"/>
    <x v="1"/>
    <s v="nontarget"/>
    <x v="3"/>
    <m/>
    <s v="yes"/>
    <n v="1"/>
    <n v="1"/>
    <n v="0"/>
    <n v="1"/>
  </r>
  <r>
    <n v="1"/>
    <n v="120"/>
    <n v="2"/>
    <x v="0"/>
    <x v="2"/>
    <s v="switch"/>
    <x v="3"/>
    <m/>
    <s v="no"/>
    <n v="0"/>
    <n v="0"/>
    <n v="0"/>
    <n v="0"/>
  </r>
  <r>
    <n v="1"/>
    <n v="121"/>
    <n v="2"/>
    <x v="0"/>
    <x v="1"/>
    <s v="nontarget"/>
    <x v="1"/>
    <m/>
    <s v="yes"/>
    <n v="1"/>
    <n v="1"/>
    <n v="1"/>
    <n v="0"/>
  </r>
  <r>
    <n v="1"/>
    <n v="122"/>
    <n v="1"/>
    <x v="1"/>
    <x v="2"/>
    <s v="switch"/>
    <x v="1"/>
    <m/>
    <s v="no"/>
    <n v="0"/>
    <n v="0"/>
    <n v="0"/>
    <n v="0"/>
  </r>
  <r>
    <n v="1"/>
    <n v="123"/>
    <n v="2"/>
    <x v="0"/>
    <x v="0"/>
    <s v="filler"/>
    <x v="4"/>
    <m/>
    <m/>
    <n v="0"/>
    <n v="0"/>
    <n v="1"/>
    <n v="0"/>
  </r>
  <r>
    <n v="1"/>
    <n v="124"/>
    <n v="1"/>
    <x v="1"/>
    <x v="1"/>
    <s v="nontarget"/>
    <x v="16"/>
    <m/>
    <s v="yes"/>
    <n v="0"/>
    <n v="1"/>
    <n v="0"/>
    <n v="1"/>
  </r>
  <r>
    <n v="1"/>
    <n v="125"/>
    <n v="1"/>
    <x v="1"/>
    <x v="2"/>
    <s v="repeat"/>
    <x v="16"/>
    <m/>
    <s v="no"/>
    <n v="1"/>
    <n v="0"/>
    <n v="0"/>
    <n v="0"/>
  </r>
  <r>
    <n v="1"/>
    <n v="126"/>
    <n v="2"/>
    <x v="0"/>
    <x v="0"/>
    <s v="filler"/>
    <x v="13"/>
    <m/>
    <m/>
    <n v="0"/>
    <n v="0"/>
    <n v="1"/>
    <n v="0"/>
  </r>
  <r>
    <n v="1"/>
    <n v="127"/>
    <n v="1"/>
    <x v="1"/>
    <x v="1"/>
    <s v="nontarget"/>
    <x v="10"/>
    <m/>
    <s v="yes"/>
    <n v="0"/>
    <n v="1"/>
    <n v="0"/>
    <n v="1"/>
  </r>
  <r>
    <n v="1"/>
    <n v="128"/>
    <n v="1"/>
    <x v="1"/>
    <x v="2"/>
    <s v="repeat"/>
    <x v="10"/>
    <m/>
    <s v="no"/>
    <n v="1"/>
    <n v="0"/>
    <n v="0"/>
    <n v="0"/>
  </r>
  <r>
    <n v="1"/>
    <n v="129"/>
    <n v="2"/>
    <x v="0"/>
    <x v="0"/>
    <s v="filler"/>
    <x v="2"/>
    <m/>
    <m/>
    <n v="0"/>
    <n v="0"/>
    <n v="1"/>
    <n v="0"/>
  </r>
  <r>
    <n v="1"/>
    <n v="130"/>
    <n v="2"/>
    <x v="0"/>
    <x v="0"/>
    <s v="filler"/>
    <x v="11"/>
    <m/>
    <s v="yes"/>
    <n v="1"/>
    <n v="0"/>
    <n v="0"/>
    <n v="1"/>
  </r>
  <r>
    <n v="1"/>
    <n v="131"/>
    <n v="1"/>
    <x v="1"/>
    <x v="0"/>
    <s v="filler"/>
    <x v="5"/>
    <m/>
    <s v="yes"/>
    <n v="0"/>
    <n v="0"/>
    <n v="0"/>
    <n v="1"/>
  </r>
  <r>
    <n v="1"/>
    <n v="132"/>
    <n v="1"/>
    <x v="1"/>
    <x v="1"/>
    <s v="nontarget"/>
    <x v="14"/>
    <m/>
    <s v="yes"/>
    <n v="1"/>
    <n v="1"/>
    <n v="0"/>
    <n v="1"/>
  </r>
  <r>
    <n v="1"/>
    <n v="133"/>
    <n v="2"/>
    <x v="0"/>
    <x v="2"/>
    <s v="switch"/>
    <x v="14"/>
    <m/>
    <s v="no"/>
    <n v="0"/>
    <n v="0"/>
    <n v="0"/>
    <n v="0"/>
  </r>
  <r>
    <n v="1"/>
    <n v="134"/>
    <n v="1"/>
    <x v="1"/>
    <x v="0"/>
    <s v="filler"/>
    <x v="7"/>
    <m/>
    <m/>
    <n v="0"/>
    <n v="0"/>
    <n v="1"/>
    <n v="0"/>
  </r>
  <r>
    <n v="1"/>
    <n v="135"/>
    <n v="1"/>
    <x v="1"/>
    <x v="0"/>
    <s v="filler"/>
    <x v="9"/>
    <m/>
    <s v="yes"/>
    <n v="1"/>
    <n v="0"/>
    <n v="0"/>
    <n v="1"/>
  </r>
  <r>
    <n v="2"/>
    <n v="136"/>
    <n v="1"/>
    <x v="1"/>
    <x v="1"/>
    <s v="nontarget"/>
    <x v="21"/>
    <m/>
    <s v="yes"/>
    <n v="1"/>
    <n v="1"/>
    <n v="0"/>
    <n v="1"/>
  </r>
  <r>
    <n v="2"/>
    <n v="137"/>
    <n v="1"/>
    <x v="1"/>
    <x v="2"/>
    <s v="repeat"/>
    <x v="21"/>
    <m/>
    <s v="no"/>
    <n v="1"/>
    <n v="0"/>
    <n v="0"/>
    <n v="0"/>
  </r>
  <r>
    <n v="2"/>
    <n v="138"/>
    <n v="2"/>
    <x v="0"/>
    <x v="0"/>
    <s v="filler"/>
    <x v="8"/>
    <m/>
    <m/>
    <n v="0"/>
    <n v="0"/>
    <n v="1"/>
    <n v="0"/>
  </r>
  <r>
    <n v="2"/>
    <n v="139"/>
    <n v="1"/>
    <x v="1"/>
    <x v="1"/>
    <s v="nontarget"/>
    <x v="19"/>
    <m/>
    <s v="yes"/>
    <n v="0"/>
    <n v="1"/>
    <n v="0"/>
    <n v="1"/>
  </r>
  <r>
    <n v="2"/>
    <n v="140"/>
    <n v="1"/>
    <x v="1"/>
    <x v="2"/>
    <s v="repeat"/>
    <x v="19"/>
    <m/>
    <s v="no"/>
    <n v="1"/>
    <n v="0"/>
    <n v="0"/>
    <n v="0"/>
  </r>
  <r>
    <n v="2"/>
    <n v="141"/>
    <n v="1"/>
    <x v="1"/>
    <x v="1"/>
    <s v="nontarget"/>
    <x v="17"/>
    <m/>
    <s v="yes"/>
    <n v="1"/>
    <n v="1"/>
    <n v="1"/>
    <n v="0"/>
  </r>
  <r>
    <n v="2"/>
    <n v="142"/>
    <n v="2"/>
    <x v="0"/>
    <x v="2"/>
    <s v="switch"/>
    <x v="17"/>
    <m/>
    <s v="no"/>
    <n v="0"/>
    <n v="0"/>
    <n v="0"/>
    <n v="0"/>
  </r>
  <r>
    <n v="2"/>
    <n v="143"/>
    <n v="2"/>
    <x v="0"/>
    <x v="0"/>
    <s v="filler"/>
    <x v="6"/>
    <m/>
    <m/>
    <n v="1"/>
    <n v="0"/>
    <n v="1"/>
    <n v="0"/>
  </r>
  <r>
    <n v="2"/>
    <n v="144"/>
    <n v="2"/>
    <x v="0"/>
    <x v="0"/>
    <s v="filler"/>
    <x v="16"/>
    <m/>
    <s v="yes"/>
    <n v="1"/>
    <n v="0"/>
    <n v="0"/>
    <n v="1"/>
  </r>
  <r>
    <n v="2"/>
    <n v="145"/>
    <n v="2"/>
    <x v="0"/>
    <x v="1"/>
    <s v="nontarget"/>
    <x v="23"/>
    <m/>
    <s v="yes"/>
    <n v="1"/>
    <n v="1"/>
    <n v="0"/>
    <n v="1"/>
  </r>
  <r>
    <n v="2"/>
    <n v="146"/>
    <n v="1"/>
    <x v="1"/>
    <x v="2"/>
    <s v="switch"/>
    <x v="23"/>
    <m/>
    <s v="no"/>
    <n v="0"/>
    <n v="0"/>
    <n v="0"/>
    <n v="0"/>
  </r>
  <r>
    <n v="2"/>
    <n v="147"/>
    <n v="2"/>
    <x v="1"/>
    <x v="0"/>
    <s v="filler"/>
    <x v="0"/>
    <s v="here"/>
    <m/>
    <n v="1"/>
    <n v="0"/>
    <n v="1"/>
    <n v="0"/>
  </r>
  <r>
    <n v="2"/>
    <n v="148"/>
    <n v="1"/>
    <x v="1"/>
    <x v="1"/>
    <s v="nontarget"/>
    <x v="18"/>
    <m/>
    <s v="yes"/>
    <n v="1"/>
    <n v="1"/>
    <n v="1"/>
    <n v="0"/>
  </r>
  <r>
    <n v="2"/>
    <n v="149"/>
    <n v="2"/>
    <x v="0"/>
    <x v="2"/>
    <s v="switch"/>
    <x v="18"/>
    <m/>
    <s v="no"/>
    <n v="0"/>
    <n v="0"/>
    <n v="0"/>
    <n v="0"/>
  </r>
  <r>
    <n v="2"/>
    <n v="150"/>
    <n v="1"/>
    <x v="1"/>
    <x v="0"/>
    <s v="filler"/>
    <x v="12"/>
    <m/>
    <m/>
    <n v="0"/>
    <n v="0"/>
    <n v="1"/>
    <n v="0"/>
  </r>
  <r>
    <n v="2"/>
    <n v="151"/>
    <n v="2"/>
    <x v="0"/>
    <x v="0"/>
    <s v="filler"/>
    <x v="3"/>
    <m/>
    <s v="yes"/>
    <n v="0"/>
    <n v="0"/>
    <n v="0"/>
    <n v="1"/>
  </r>
  <r>
    <n v="2"/>
    <n v="152"/>
    <n v="1"/>
    <x v="1"/>
    <x v="0"/>
    <s v="filler"/>
    <x v="10"/>
    <m/>
    <s v="yes"/>
    <n v="0"/>
    <n v="0"/>
    <n v="0"/>
    <n v="1"/>
  </r>
  <r>
    <n v="2"/>
    <n v="153"/>
    <n v="2"/>
    <x v="0"/>
    <x v="1"/>
    <s v="nontarget"/>
    <x v="20"/>
    <m/>
    <s v="yes"/>
    <n v="0"/>
    <n v="1"/>
    <n v="0"/>
    <n v="1"/>
  </r>
  <r>
    <n v="2"/>
    <n v="154"/>
    <n v="2"/>
    <x v="0"/>
    <x v="2"/>
    <s v="repeat"/>
    <x v="20"/>
    <m/>
    <s v="no"/>
    <n v="1"/>
    <n v="0"/>
    <n v="0"/>
    <n v="0"/>
  </r>
  <r>
    <n v="2"/>
    <n v="155"/>
    <n v="1"/>
    <x v="1"/>
    <x v="0"/>
    <s v="filler"/>
    <x v="1"/>
    <m/>
    <m/>
    <n v="0"/>
    <n v="0"/>
    <n v="1"/>
    <n v="0"/>
  </r>
  <r>
    <n v="2"/>
    <n v="156"/>
    <n v="2"/>
    <x v="0"/>
    <x v="1"/>
    <s v="nontarget"/>
    <x v="24"/>
    <m/>
    <s v="yes"/>
    <n v="0"/>
    <n v="1"/>
    <n v="0"/>
    <n v="1"/>
  </r>
  <r>
    <n v="2"/>
    <n v="157"/>
    <n v="2"/>
    <x v="0"/>
    <x v="2"/>
    <s v="repeat"/>
    <x v="24"/>
    <m/>
    <s v="no"/>
    <n v="1"/>
    <n v="0"/>
    <n v="0"/>
    <n v="0"/>
  </r>
  <r>
    <n v="2"/>
    <n v="158"/>
    <n v="1"/>
    <x v="1"/>
    <x v="0"/>
    <s v="filler"/>
    <x v="16"/>
    <m/>
    <m/>
    <n v="0"/>
    <n v="0"/>
    <n v="1"/>
    <n v="0"/>
  </r>
  <r>
    <n v="2"/>
    <n v="159"/>
    <n v="1"/>
    <x v="1"/>
    <x v="0"/>
    <s v="filler"/>
    <x v="8"/>
    <m/>
    <s v="yes"/>
    <n v="1"/>
    <n v="0"/>
    <n v="0"/>
    <n v="1"/>
  </r>
  <r>
    <n v="2"/>
    <n v="160"/>
    <n v="2"/>
    <x v="0"/>
    <x v="0"/>
    <s v="filler"/>
    <x v="14"/>
    <m/>
    <s v="yes"/>
    <n v="0"/>
    <n v="0"/>
    <n v="0"/>
    <n v="1"/>
  </r>
  <r>
    <n v="2"/>
    <n v="161"/>
    <n v="2"/>
    <x v="0"/>
    <x v="1"/>
    <s v="nontarget"/>
    <x v="22"/>
    <m/>
    <s v="yes"/>
    <n v="1"/>
    <n v="1"/>
    <n v="0"/>
    <n v="1"/>
  </r>
  <r>
    <n v="2"/>
    <n v="162"/>
    <n v="1"/>
    <x v="1"/>
    <x v="2"/>
    <s v="switch"/>
    <x v="22"/>
    <m/>
    <s v="no"/>
    <n v="0"/>
    <n v="0"/>
    <n v="0"/>
    <n v="0"/>
  </r>
  <r>
    <n v="3"/>
    <n v="163"/>
    <n v="1"/>
    <x v="1"/>
    <x v="0"/>
    <s v="filler"/>
    <x v="21"/>
    <m/>
    <m/>
    <n v="1"/>
    <n v="0"/>
    <n v="1"/>
    <n v="0"/>
  </r>
  <r>
    <n v="3"/>
    <n v="164"/>
    <n v="1"/>
    <x v="1"/>
    <x v="1"/>
    <s v="nontarget"/>
    <x v="30"/>
    <m/>
    <s v="yes"/>
    <n v="1"/>
    <n v="1"/>
    <n v="0"/>
    <n v="1"/>
  </r>
  <r>
    <n v="3"/>
    <n v="165"/>
    <n v="2"/>
    <x v="0"/>
    <x v="2"/>
    <s v="switch"/>
    <x v="30"/>
    <m/>
    <s v="no"/>
    <n v="0"/>
    <n v="0"/>
    <n v="0"/>
    <n v="0"/>
  </r>
  <r>
    <n v="3"/>
    <n v="166"/>
    <n v="2"/>
    <x v="0"/>
    <x v="0"/>
    <s v="filler"/>
    <x v="19"/>
    <m/>
    <m/>
    <n v="1"/>
    <n v="0"/>
    <n v="1"/>
    <n v="0"/>
  </r>
  <r>
    <n v="3"/>
    <n v="167"/>
    <n v="2"/>
    <x v="0"/>
    <x v="1"/>
    <s v="nontarget"/>
    <x v="28"/>
    <m/>
    <s v="yes"/>
    <n v="1"/>
    <n v="1"/>
    <n v="0"/>
    <n v="1"/>
  </r>
  <r>
    <n v="3"/>
    <n v="168"/>
    <n v="1"/>
    <x v="1"/>
    <x v="2"/>
    <s v="switch"/>
    <x v="28"/>
    <m/>
    <s v="no"/>
    <n v="0"/>
    <n v="0"/>
    <n v="0"/>
    <n v="0"/>
  </r>
  <r>
    <n v="3"/>
    <n v="169"/>
    <n v="1"/>
    <x v="1"/>
    <x v="0"/>
    <s v="filler"/>
    <x v="0"/>
    <s v="here"/>
    <m/>
    <n v="1"/>
    <n v="0"/>
    <n v="1"/>
    <n v="0"/>
  </r>
  <r>
    <n v="3"/>
    <n v="170"/>
    <n v="1"/>
    <x v="1"/>
    <x v="1"/>
    <s v="nontarget"/>
    <x v="32"/>
    <m/>
    <s v="yes"/>
    <n v="1"/>
    <n v="1"/>
    <n v="0"/>
    <n v="1"/>
  </r>
  <r>
    <n v="3"/>
    <n v="171"/>
    <n v="2"/>
    <x v="0"/>
    <x v="2"/>
    <s v="switch"/>
    <x v="32"/>
    <m/>
    <s v="no"/>
    <n v="0"/>
    <n v="0"/>
    <n v="0"/>
    <n v="0"/>
  </r>
  <r>
    <n v="3"/>
    <n v="172"/>
    <n v="1"/>
    <x v="1"/>
    <x v="0"/>
    <s v="filler"/>
    <x v="17"/>
    <m/>
    <m/>
    <n v="0"/>
    <n v="0"/>
    <n v="1"/>
    <n v="0"/>
  </r>
  <r>
    <n v="3"/>
    <n v="173"/>
    <n v="1"/>
    <x v="1"/>
    <x v="0"/>
    <s v="filler"/>
    <x v="20"/>
    <m/>
    <s v="yes"/>
    <n v="1"/>
    <n v="0"/>
    <n v="0"/>
    <n v="1"/>
  </r>
  <r>
    <n v="3"/>
    <n v="174"/>
    <n v="2"/>
    <x v="0"/>
    <x v="1"/>
    <s v="nontarget"/>
    <x v="31"/>
    <m/>
    <s v="yes"/>
    <n v="0"/>
    <n v="1"/>
    <n v="0"/>
    <n v="1"/>
  </r>
  <r>
    <n v="3"/>
    <n v="175"/>
    <n v="2"/>
    <x v="0"/>
    <x v="2"/>
    <s v="repeat"/>
    <x v="31"/>
    <m/>
    <s v="no"/>
    <n v="1"/>
    <n v="0"/>
    <n v="0"/>
    <n v="0"/>
  </r>
  <r>
    <n v="3"/>
    <n v="176"/>
    <n v="2"/>
    <x v="0"/>
    <x v="0"/>
    <s v="filler"/>
    <x v="23"/>
    <m/>
    <m/>
    <n v="1"/>
    <n v="0"/>
    <n v="1"/>
    <n v="0"/>
  </r>
  <r>
    <n v="3"/>
    <n v="177"/>
    <n v="1"/>
    <x v="1"/>
    <x v="0"/>
    <s v="filler"/>
    <x v="18"/>
    <m/>
    <s v="yes"/>
    <n v="0"/>
    <n v="0"/>
    <n v="0"/>
    <n v="1"/>
  </r>
  <r>
    <n v="3"/>
    <n v="178"/>
    <n v="2"/>
    <x v="0"/>
    <x v="1"/>
    <s v="nontarget"/>
    <x v="25"/>
    <m/>
    <s v="yes"/>
    <n v="0"/>
    <n v="1"/>
    <n v="0"/>
    <n v="1"/>
  </r>
  <r>
    <n v="3"/>
    <n v="179"/>
    <n v="2"/>
    <x v="0"/>
    <x v="2"/>
    <s v="repeat"/>
    <x v="25"/>
    <m/>
    <s v="no"/>
    <n v="1"/>
    <n v="0"/>
    <n v="0"/>
    <n v="0"/>
  </r>
  <r>
    <n v="3"/>
    <n v="180"/>
    <n v="2"/>
    <x v="0"/>
    <x v="1"/>
    <s v="nontarget"/>
    <x v="27"/>
    <m/>
    <s v="yes"/>
    <n v="1"/>
    <n v="1"/>
    <n v="1"/>
    <n v="0"/>
  </r>
  <r>
    <n v="3"/>
    <n v="181"/>
    <n v="1"/>
    <x v="1"/>
    <x v="2"/>
    <s v="switch"/>
    <x v="27"/>
    <m/>
    <s v="no"/>
    <n v="0"/>
    <n v="0"/>
    <n v="0"/>
    <n v="0"/>
  </r>
  <r>
    <n v="3"/>
    <n v="182"/>
    <n v="2"/>
    <x v="0"/>
    <x v="0"/>
    <s v="filler"/>
    <x v="20"/>
    <m/>
    <m/>
    <n v="0"/>
    <n v="0"/>
    <n v="1"/>
    <n v="0"/>
  </r>
  <r>
    <n v="3"/>
    <n v="183"/>
    <n v="1"/>
    <x v="1"/>
    <x v="0"/>
    <s v="filler"/>
    <x v="0"/>
    <s v="here"/>
    <s v="yes"/>
    <n v="0"/>
    <n v="0"/>
    <n v="0"/>
    <n v="1"/>
  </r>
  <r>
    <n v="3"/>
    <n v="184"/>
    <n v="1"/>
    <x v="1"/>
    <x v="1"/>
    <s v="nontarget"/>
    <x v="29"/>
    <m/>
    <s v="yes"/>
    <n v="1"/>
    <n v="1"/>
    <n v="0"/>
    <n v="1"/>
  </r>
  <r>
    <n v="3"/>
    <n v="185"/>
    <n v="1"/>
    <x v="1"/>
    <x v="2"/>
    <s v="repeat"/>
    <x v="29"/>
    <m/>
    <s v="no"/>
    <n v="1"/>
    <n v="0"/>
    <n v="0"/>
    <n v="0"/>
  </r>
  <r>
    <n v="3"/>
    <n v="186"/>
    <n v="2"/>
    <x v="0"/>
    <x v="0"/>
    <s v="filler"/>
    <x v="24"/>
    <m/>
    <m/>
    <n v="0"/>
    <n v="0"/>
    <n v="1"/>
    <n v="0"/>
  </r>
  <r>
    <n v="3"/>
    <n v="187"/>
    <n v="1"/>
    <x v="1"/>
    <x v="1"/>
    <s v="nontarget"/>
    <x v="26"/>
    <m/>
    <s v="yes"/>
    <n v="0"/>
    <n v="1"/>
    <n v="0"/>
    <n v="1"/>
  </r>
  <r>
    <n v="3"/>
    <n v="188"/>
    <n v="1"/>
    <x v="1"/>
    <x v="2"/>
    <s v="repeat"/>
    <x v="26"/>
    <m/>
    <s v="no"/>
    <n v="1"/>
    <n v="0"/>
    <n v="0"/>
    <n v="0"/>
  </r>
  <r>
    <n v="3"/>
    <n v="189"/>
    <n v="1"/>
    <x v="1"/>
    <x v="0"/>
    <s v="filler"/>
    <x v="22"/>
    <m/>
    <m/>
    <n v="1"/>
    <n v="0"/>
    <n v="1"/>
    <n v="0"/>
  </r>
  <r>
    <n v="4"/>
    <n v="190"/>
    <n v="2"/>
    <x v="0"/>
    <x v="0"/>
    <s v="filler"/>
    <x v="30"/>
    <m/>
    <s v="yes"/>
    <n v="0"/>
    <n v="0"/>
    <n v="0"/>
    <n v="1"/>
  </r>
  <r>
    <n v="4"/>
    <n v="191"/>
    <n v="1"/>
    <x v="1"/>
    <x v="1"/>
    <s v="nontarget"/>
    <x v="9"/>
    <m/>
    <s v="yes"/>
    <n v="0"/>
    <n v="1"/>
    <n v="0"/>
    <n v="1"/>
  </r>
  <r>
    <n v="4"/>
    <n v="192"/>
    <n v="1"/>
    <x v="1"/>
    <x v="2"/>
    <s v="repeat"/>
    <x v="9"/>
    <m/>
    <s v="no"/>
    <n v="1"/>
    <n v="0"/>
    <n v="0"/>
    <n v="0"/>
  </r>
  <r>
    <n v="4"/>
    <n v="193"/>
    <n v="1"/>
    <x v="1"/>
    <x v="1"/>
    <s v="nontarget"/>
    <x v="15"/>
    <m/>
    <s v="yes"/>
    <n v="1"/>
    <n v="1"/>
    <n v="1"/>
    <n v="0"/>
  </r>
  <r>
    <n v="4"/>
    <n v="194"/>
    <n v="2"/>
    <x v="0"/>
    <x v="2"/>
    <s v="switch"/>
    <x v="15"/>
    <m/>
    <s v="no"/>
    <n v="0"/>
    <n v="0"/>
    <n v="0"/>
    <n v="0"/>
  </r>
  <r>
    <n v="4"/>
    <n v="195"/>
    <n v="1"/>
    <x v="1"/>
    <x v="0"/>
    <s v="filler"/>
    <x v="28"/>
    <m/>
    <m/>
    <n v="0"/>
    <n v="0"/>
    <n v="1"/>
    <n v="0"/>
  </r>
  <r>
    <n v="4"/>
    <n v="196"/>
    <n v="2"/>
    <x v="0"/>
    <x v="1"/>
    <s v="nontarget"/>
    <x v="11"/>
    <m/>
    <s v="yes"/>
    <n v="0"/>
    <n v="1"/>
    <n v="0"/>
    <n v="1"/>
  </r>
  <r>
    <n v="4"/>
    <n v="197"/>
    <n v="2"/>
    <x v="0"/>
    <x v="2"/>
    <s v="repeat"/>
    <x v="11"/>
    <m/>
    <s v="no"/>
    <n v="1"/>
    <n v="0"/>
    <n v="0"/>
    <n v="0"/>
  </r>
  <r>
    <n v="4"/>
    <n v="198"/>
    <n v="2"/>
    <x v="0"/>
    <x v="1"/>
    <s v="nontarget"/>
    <x v="4"/>
    <m/>
    <s v="yes"/>
    <n v="1"/>
    <n v="1"/>
    <n v="1"/>
    <n v="0"/>
  </r>
  <r>
    <n v="4"/>
    <n v="199"/>
    <n v="1"/>
    <x v="1"/>
    <x v="2"/>
    <s v="switch"/>
    <x v="4"/>
    <m/>
    <s v="no"/>
    <n v="0"/>
    <n v="0"/>
    <n v="0"/>
    <n v="0"/>
  </r>
  <r>
    <n v="4"/>
    <n v="200"/>
    <n v="2"/>
    <x v="0"/>
    <x v="0"/>
    <s v="filler"/>
    <x v="32"/>
    <m/>
    <m/>
    <n v="0"/>
    <n v="0"/>
    <n v="1"/>
    <n v="0"/>
  </r>
  <r>
    <n v="4"/>
    <n v="201"/>
    <n v="1"/>
    <x v="1"/>
    <x v="1"/>
    <s v="nontarget"/>
    <x v="13"/>
    <m/>
    <s v="yes"/>
    <n v="0"/>
    <n v="1"/>
    <n v="0"/>
    <n v="1"/>
  </r>
  <r>
    <n v="4"/>
    <n v="202"/>
    <n v="2"/>
    <x v="0"/>
    <x v="2"/>
    <s v="switch"/>
    <x v="13"/>
    <m/>
    <s v="no"/>
    <n v="0"/>
    <n v="0"/>
    <n v="0"/>
    <n v="0"/>
  </r>
  <r>
    <n v="4"/>
    <n v="203"/>
    <n v="1"/>
    <x v="1"/>
    <x v="0"/>
    <s v="filler"/>
    <x v="25"/>
    <m/>
    <m/>
    <n v="0"/>
    <n v="0"/>
    <n v="1"/>
    <n v="0"/>
  </r>
  <r>
    <n v="4"/>
    <n v="204"/>
    <n v="1"/>
    <x v="1"/>
    <x v="0"/>
    <s v="filler"/>
    <x v="26"/>
    <m/>
    <s v="yes"/>
    <n v="1"/>
    <n v="0"/>
    <n v="0"/>
    <n v="1"/>
  </r>
  <r>
    <n v="4"/>
    <n v="205"/>
    <n v="2"/>
    <x v="0"/>
    <x v="0"/>
    <s v="filler"/>
    <x v="31"/>
    <m/>
    <s v="yes"/>
    <n v="0"/>
    <n v="0"/>
    <n v="0"/>
    <n v="1"/>
  </r>
  <r>
    <n v="4"/>
    <n v="206"/>
    <n v="2"/>
    <x v="0"/>
    <x v="1"/>
    <s v="nontarget"/>
    <x v="2"/>
    <m/>
    <s v="yes"/>
    <n v="1"/>
    <n v="1"/>
    <n v="0"/>
    <n v="1"/>
  </r>
  <r>
    <n v="4"/>
    <n v="207"/>
    <n v="2"/>
    <x v="0"/>
    <x v="2"/>
    <s v="repeat"/>
    <x v="2"/>
    <m/>
    <s v="no"/>
    <n v="1"/>
    <n v="0"/>
    <n v="0"/>
    <n v="0"/>
  </r>
  <r>
    <n v="4"/>
    <n v="208"/>
    <n v="1"/>
    <x v="1"/>
    <x v="0"/>
    <s v="filler"/>
    <x v="27"/>
    <m/>
    <m/>
    <n v="0"/>
    <n v="0"/>
    <n v="1"/>
    <n v="0"/>
  </r>
  <r>
    <n v="4"/>
    <n v="209"/>
    <n v="2"/>
    <x v="0"/>
    <x v="0"/>
    <s v="filler"/>
    <x v="29"/>
    <m/>
    <s v="yes"/>
    <n v="0"/>
    <n v="0"/>
    <n v="0"/>
    <n v="1"/>
  </r>
  <r>
    <n v="4"/>
    <n v="210"/>
    <n v="2"/>
    <x v="0"/>
    <x v="1"/>
    <s v="nontarget"/>
    <x v="5"/>
    <m/>
    <s v="yes"/>
    <n v="1"/>
    <n v="1"/>
    <n v="0"/>
    <n v="1"/>
  </r>
  <r>
    <n v="4"/>
    <n v="211"/>
    <n v="1"/>
    <x v="1"/>
    <x v="2"/>
    <s v="switch"/>
    <x v="5"/>
    <m/>
    <s v="no"/>
    <n v="0"/>
    <n v="0"/>
    <n v="0"/>
    <n v="0"/>
  </r>
  <r>
    <n v="4"/>
    <n v="212"/>
    <n v="1"/>
    <x v="1"/>
    <x v="1"/>
    <s v="nontarget"/>
    <x v="7"/>
    <m/>
    <s v="yes"/>
    <n v="1"/>
    <n v="1"/>
    <n v="1"/>
    <n v="0"/>
  </r>
  <r>
    <n v="4"/>
    <n v="213"/>
    <n v="1"/>
    <x v="1"/>
    <x v="2"/>
    <s v="repeat"/>
    <x v="7"/>
    <m/>
    <s v="no"/>
    <n v="1"/>
    <n v="0"/>
    <n v="0"/>
    <n v="0"/>
  </r>
  <r>
    <n v="4"/>
    <n v="214"/>
    <n v="2"/>
    <x v="0"/>
    <x v="0"/>
    <s v="filler"/>
    <x v="0"/>
    <s v="here"/>
    <m/>
    <n v="0"/>
    <n v="0"/>
    <n v="1"/>
    <n v="0"/>
  </r>
  <r>
    <n v="4"/>
    <n v="215"/>
    <n v="2"/>
    <x v="0"/>
    <x v="0"/>
    <s v="filler"/>
    <x v="27"/>
    <m/>
    <s v="yes"/>
    <n v="1"/>
    <n v="0"/>
    <n v="0"/>
    <n v="1"/>
  </r>
  <r>
    <n v="4"/>
    <n v="216"/>
    <n v="1"/>
    <x v="1"/>
    <x v="0"/>
    <s v="filler"/>
    <x v="26"/>
    <m/>
    <m/>
    <n v="0"/>
    <n v="0"/>
    <n v="0"/>
    <n v="1"/>
  </r>
  <r>
    <s v="BREAK"/>
    <n v="217"/>
    <m/>
    <x v="2"/>
    <x v="3"/>
    <m/>
    <x v="0"/>
    <m/>
    <s v="no"/>
    <n v="0"/>
    <n v="0"/>
    <n v="0"/>
    <n v="1"/>
  </r>
  <r>
    <n v="1"/>
    <n v="218"/>
    <n v="2"/>
    <x v="0"/>
    <x v="0"/>
    <s v="filler"/>
    <x v="11"/>
    <m/>
    <s v="yes"/>
    <n v="0"/>
    <n v="0"/>
    <n v="0"/>
    <n v="0"/>
  </r>
  <r>
    <n v="1"/>
    <n v="219"/>
    <n v="2"/>
    <x v="0"/>
    <x v="1"/>
    <s v="nontarget"/>
    <x v="14"/>
    <m/>
    <s v="yes"/>
    <n v="1"/>
    <n v="1"/>
    <n v="0"/>
    <n v="1"/>
  </r>
  <r>
    <n v="1"/>
    <n v="220"/>
    <n v="2"/>
    <x v="0"/>
    <x v="2"/>
    <s v="repeat"/>
    <x v="14"/>
    <m/>
    <s v="no"/>
    <n v="1"/>
    <n v="0"/>
    <n v="0"/>
    <n v="0"/>
  </r>
  <r>
    <n v="1"/>
    <n v="221"/>
    <n v="1"/>
    <x v="1"/>
    <x v="0"/>
    <s v="filler"/>
    <x v="5"/>
    <m/>
    <m/>
    <n v="0"/>
    <n v="0"/>
    <n v="1"/>
    <n v="0"/>
  </r>
  <r>
    <n v="1"/>
    <n v="222"/>
    <n v="1"/>
    <x v="1"/>
    <x v="0"/>
    <s v="filler"/>
    <x v="15"/>
    <m/>
    <s v="yes"/>
    <n v="1"/>
    <n v="0"/>
    <n v="0"/>
    <n v="1"/>
  </r>
  <r>
    <n v="1"/>
    <n v="223"/>
    <n v="1"/>
    <x v="1"/>
    <x v="0"/>
    <s v="filler"/>
    <x v="4"/>
    <m/>
    <m/>
    <n v="1"/>
    <n v="0"/>
    <n v="0"/>
    <n v="1"/>
  </r>
  <r>
    <n v="1"/>
    <n v="224"/>
    <n v="2"/>
    <x v="0"/>
    <x v="1"/>
    <s v="nontarget"/>
    <x v="12"/>
    <m/>
    <s v="yes"/>
    <n v="0"/>
    <n v="1"/>
    <n v="0"/>
    <n v="1"/>
  </r>
  <r>
    <n v="1"/>
    <n v="225"/>
    <n v="2"/>
    <x v="0"/>
    <x v="2"/>
    <s v="repeat"/>
    <x v="12"/>
    <m/>
    <s v="no"/>
    <n v="1"/>
    <n v="0"/>
    <n v="0"/>
    <n v="0"/>
  </r>
  <r>
    <n v="1"/>
    <n v="226"/>
    <n v="2"/>
    <x v="0"/>
    <x v="1"/>
    <s v="nontarget"/>
    <x v="16"/>
    <m/>
    <s v="yes"/>
    <n v="1"/>
    <n v="1"/>
    <n v="1"/>
    <n v="0"/>
  </r>
  <r>
    <n v="1"/>
    <n v="227"/>
    <n v="1"/>
    <x v="1"/>
    <x v="2"/>
    <s v="switch"/>
    <x v="16"/>
    <m/>
    <s v="no"/>
    <n v="0"/>
    <n v="0"/>
    <n v="0"/>
    <n v="0"/>
  </r>
  <r>
    <n v="1"/>
    <n v="228"/>
    <n v="1"/>
    <x v="1"/>
    <x v="0"/>
    <s v="filler"/>
    <x v="7"/>
    <m/>
    <m/>
    <n v="1"/>
    <n v="0"/>
    <n v="1"/>
    <n v="0"/>
  </r>
  <r>
    <n v="1"/>
    <n v="229"/>
    <n v="1"/>
    <x v="1"/>
    <x v="1"/>
    <s v="nontarget"/>
    <x v="1"/>
    <m/>
    <s v="yes"/>
    <n v="1"/>
    <n v="1"/>
    <n v="0"/>
    <n v="1"/>
  </r>
  <r>
    <n v="1"/>
    <n v="230"/>
    <n v="2"/>
    <x v="0"/>
    <x v="2"/>
    <s v="switch"/>
    <x v="1"/>
    <m/>
    <s v="no"/>
    <n v="0"/>
    <n v="0"/>
    <n v="0"/>
    <n v="0"/>
  </r>
  <r>
    <n v="1"/>
    <n v="231"/>
    <n v="2"/>
    <x v="0"/>
    <x v="1"/>
    <s v="nontarget"/>
    <x v="8"/>
    <m/>
    <s v="yes"/>
    <n v="1"/>
    <n v="1"/>
    <n v="1"/>
    <n v="0"/>
  </r>
  <r>
    <n v="1"/>
    <n v="232"/>
    <n v="1"/>
    <x v="1"/>
    <x v="2"/>
    <s v="switch"/>
    <x v="8"/>
    <m/>
    <s v="no"/>
    <n v="0"/>
    <n v="0"/>
    <n v="0"/>
    <n v="0"/>
  </r>
  <r>
    <n v="1"/>
    <n v="233"/>
    <n v="2"/>
    <x v="0"/>
    <x v="0"/>
    <s v="filler"/>
    <x v="2"/>
    <m/>
    <m/>
    <n v="0"/>
    <n v="0"/>
    <n v="1"/>
    <n v="0"/>
  </r>
  <r>
    <n v="1"/>
    <n v="234"/>
    <n v="2"/>
    <x v="0"/>
    <x v="0"/>
    <s v="filler"/>
    <x v="15"/>
    <m/>
    <m/>
    <n v="1"/>
    <n v="0"/>
    <n v="0"/>
    <n v="1"/>
  </r>
  <r>
    <n v="1"/>
    <n v="235"/>
    <n v="1"/>
    <x v="1"/>
    <x v="1"/>
    <s v="nontarget"/>
    <x v="3"/>
    <m/>
    <s v="yes"/>
    <n v="0"/>
    <n v="1"/>
    <n v="0"/>
    <n v="1"/>
  </r>
  <r>
    <n v="1"/>
    <n v="236"/>
    <n v="1"/>
    <x v="1"/>
    <x v="2"/>
    <s v="repeat"/>
    <x v="3"/>
    <m/>
    <s v="no"/>
    <n v="1"/>
    <n v="0"/>
    <n v="0"/>
    <n v="0"/>
  </r>
  <r>
    <n v="1"/>
    <n v="237"/>
    <n v="2"/>
    <x v="0"/>
    <x v="0"/>
    <s v="filler"/>
    <x v="9"/>
    <m/>
    <m/>
    <n v="0"/>
    <n v="0"/>
    <n v="1"/>
    <n v="0"/>
  </r>
  <r>
    <n v="1"/>
    <n v="238"/>
    <n v="2"/>
    <x v="0"/>
    <x v="0"/>
    <s v="filler"/>
    <x v="13"/>
    <m/>
    <m/>
    <n v="1"/>
    <n v="0"/>
    <n v="0"/>
    <n v="1"/>
  </r>
  <r>
    <n v="1"/>
    <n v="239"/>
    <n v="1"/>
    <x v="1"/>
    <x v="1"/>
    <s v="nontarget"/>
    <x v="6"/>
    <m/>
    <s v="yes"/>
    <n v="0"/>
    <n v="1"/>
    <n v="0"/>
    <n v="1"/>
  </r>
  <r>
    <n v="1"/>
    <n v="240"/>
    <n v="1"/>
    <x v="1"/>
    <x v="2"/>
    <s v="repeat"/>
    <x v="6"/>
    <m/>
    <s v="no"/>
    <n v="1"/>
    <n v="0"/>
    <n v="0"/>
    <n v="0"/>
  </r>
  <r>
    <n v="1"/>
    <n v="241"/>
    <n v="1"/>
    <x v="1"/>
    <x v="1"/>
    <s v="nontarget"/>
    <x v="10"/>
    <m/>
    <s v="yes"/>
    <n v="1"/>
    <n v="1"/>
    <n v="1"/>
    <n v="0"/>
  </r>
  <r>
    <n v="1"/>
    <n v="242"/>
    <n v="2"/>
    <x v="0"/>
    <x v="2"/>
    <s v="switch"/>
    <x v="10"/>
    <m/>
    <s v="no"/>
    <n v="0"/>
    <n v="0"/>
    <n v="0"/>
    <n v="0"/>
  </r>
  <r>
    <n v="2"/>
    <n v="243"/>
    <n v="2"/>
    <x v="0"/>
    <x v="0"/>
    <s v="filler"/>
    <x v="14"/>
    <m/>
    <m/>
    <n v="1"/>
    <n v="0"/>
    <n v="1"/>
    <n v="0"/>
  </r>
  <r>
    <n v="2"/>
    <n v="244"/>
    <n v="2"/>
    <x v="0"/>
    <x v="0"/>
    <s v="filler"/>
    <x v="8"/>
    <m/>
    <s v="yes"/>
    <n v="1"/>
    <n v="0"/>
    <n v="0"/>
    <n v="1"/>
  </r>
  <r>
    <n v="2"/>
    <n v="245"/>
    <n v="1"/>
    <x v="1"/>
    <x v="0"/>
    <s v="filler"/>
    <x v="6"/>
    <m/>
    <m/>
    <n v="0"/>
    <n v="0"/>
    <n v="0"/>
    <n v="1"/>
  </r>
  <r>
    <n v="2"/>
    <n v="246"/>
    <n v="1"/>
    <x v="1"/>
    <x v="1"/>
    <s v="nontarget"/>
    <x v="23"/>
    <m/>
    <s v="yes"/>
    <n v="1"/>
    <n v="1"/>
    <n v="0"/>
    <n v="1"/>
  </r>
  <r>
    <n v="2"/>
    <n v="247"/>
    <n v="1"/>
    <x v="1"/>
    <x v="2"/>
    <s v="repeat"/>
    <x v="23"/>
    <m/>
    <s v="no"/>
    <n v="1"/>
    <n v="0"/>
    <n v="0"/>
    <n v="0"/>
  </r>
  <r>
    <n v="2"/>
    <n v="248"/>
    <n v="2"/>
    <x v="0"/>
    <x v="0"/>
    <s v="filler"/>
    <x v="12"/>
    <m/>
    <m/>
    <n v="0"/>
    <n v="0"/>
    <n v="1"/>
    <n v="0"/>
  </r>
  <r>
    <n v="2"/>
    <n v="249"/>
    <n v="1"/>
    <x v="1"/>
    <x v="1"/>
    <s v="nontarget"/>
    <x v="22"/>
    <m/>
    <s v="yes"/>
    <n v="0"/>
    <n v="1"/>
    <n v="0"/>
    <n v="1"/>
  </r>
  <r>
    <n v="2"/>
    <n v="250"/>
    <n v="1"/>
    <x v="1"/>
    <x v="2"/>
    <s v="repeat"/>
    <x v="22"/>
    <m/>
    <s v="no"/>
    <n v="1"/>
    <n v="0"/>
    <n v="0"/>
    <n v="0"/>
  </r>
  <r>
    <n v="2"/>
    <n v="251"/>
    <n v="1"/>
    <x v="1"/>
    <x v="1"/>
    <s v="nontarget"/>
    <x v="20"/>
    <m/>
    <s v="yes"/>
    <n v="1"/>
    <n v="1"/>
    <n v="1"/>
    <n v="0"/>
  </r>
  <r>
    <n v="2"/>
    <n v="252"/>
    <n v="2"/>
    <x v="0"/>
    <x v="2"/>
    <s v="switch"/>
    <x v="20"/>
    <m/>
    <s v="no"/>
    <n v="0"/>
    <n v="0"/>
    <n v="0"/>
    <n v="0"/>
  </r>
  <r>
    <n v="2"/>
    <n v="253"/>
    <n v="2"/>
    <x v="0"/>
    <x v="0"/>
    <s v="filler"/>
    <x v="16"/>
    <m/>
    <m/>
    <n v="1"/>
    <n v="0"/>
    <n v="1"/>
    <n v="0"/>
  </r>
  <r>
    <n v="2"/>
    <n v="254"/>
    <n v="2"/>
    <x v="0"/>
    <x v="1"/>
    <s v="nontarget"/>
    <x v="21"/>
    <m/>
    <s v="yes"/>
    <n v="1"/>
    <n v="1"/>
    <n v="0"/>
    <n v="1"/>
  </r>
  <r>
    <n v="2"/>
    <n v="255"/>
    <n v="1"/>
    <x v="1"/>
    <x v="2"/>
    <s v="switch"/>
    <x v="21"/>
    <m/>
    <s v="no"/>
    <n v="0"/>
    <n v="0"/>
    <n v="0"/>
    <n v="0"/>
  </r>
  <r>
    <n v="2"/>
    <n v="256"/>
    <n v="1"/>
    <x v="1"/>
    <x v="0"/>
    <s v="filler"/>
    <x v="1"/>
    <m/>
    <m/>
    <n v="1"/>
    <n v="0"/>
    <n v="1"/>
    <n v="0"/>
  </r>
  <r>
    <n v="2"/>
    <n v="257"/>
    <n v="1"/>
    <x v="1"/>
    <x v="1"/>
    <s v="nontarget"/>
    <x v="24"/>
    <m/>
    <s v="yes"/>
    <n v="1"/>
    <n v="1"/>
    <n v="0"/>
    <n v="1"/>
  </r>
  <r>
    <n v="2"/>
    <n v="258"/>
    <n v="2"/>
    <x v="0"/>
    <x v="2"/>
    <s v="switch"/>
    <x v="24"/>
    <m/>
    <s v="no"/>
    <n v="0"/>
    <n v="0"/>
    <n v="0"/>
    <n v="0"/>
  </r>
  <r>
    <n v="2"/>
    <n v="259"/>
    <n v="1"/>
    <x v="1"/>
    <x v="0"/>
    <s v="filler"/>
    <x v="8"/>
    <m/>
    <m/>
    <n v="0"/>
    <n v="0"/>
    <n v="1"/>
    <n v="0"/>
  </r>
  <r>
    <n v="2"/>
    <n v="260"/>
    <n v="2"/>
    <x v="0"/>
    <x v="1"/>
    <s v="nontarget"/>
    <x v="18"/>
    <m/>
    <s v="yes"/>
    <n v="0"/>
    <n v="1"/>
    <n v="0"/>
    <n v="1"/>
  </r>
  <r>
    <n v="2"/>
    <n v="261"/>
    <n v="2"/>
    <x v="0"/>
    <x v="2"/>
    <s v="repeat"/>
    <x v="18"/>
    <m/>
    <s v="no"/>
    <n v="1"/>
    <n v="0"/>
    <n v="0"/>
    <n v="0"/>
  </r>
  <r>
    <n v="2"/>
    <n v="262"/>
    <n v="1"/>
    <x v="1"/>
    <x v="0"/>
    <s v="filler"/>
    <x v="3"/>
    <m/>
    <m/>
    <n v="0"/>
    <n v="0"/>
    <n v="1"/>
    <n v="0"/>
  </r>
  <r>
    <n v="2"/>
    <n v="263"/>
    <n v="1"/>
    <x v="1"/>
    <x v="0"/>
    <s v="filler"/>
    <x v="12"/>
    <m/>
    <s v="yes"/>
    <n v="1"/>
    <n v="0"/>
    <n v="0"/>
    <n v="1"/>
  </r>
  <r>
    <n v="2"/>
    <n v="264"/>
    <n v="2"/>
    <x v="0"/>
    <x v="1"/>
    <s v="nontarget"/>
    <x v="17"/>
    <m/>
    <s v="yes"/>
    <n v="0"/>
    <n v="1"/>
    <n v="0"/>
    <n v="1"/>
  </r>
  <r>
    <n v="2"/>
    <n v="265"/>
    <n v="2"/>
    <x v="0"/>
    <x v="2"/>
    <s v="repeat"/>
    <x v="17"/>
    <m/>
    <s v="no"/>
    <n v="1"/>
    <n v="0"/>
    <n v="0"/>
    <n v="0"/>
  </r>
  <r>
    <n v="2"/>
    <n v="266"/>
    <n v="2"/>
    <x v="0"/>
    <x v="0"/>
    <s v="filler"/>
    <x v="10"/>
    <m/>
    <m/>
    <n v="1"/>
    <n v="0"/>
    <n v="1"/>
    <n v="0"/>
  </r>
  <r>
    <n v="2"/>
    <n v="267"/>
    <n v="2"/>
    <x v="0"/>
    <x v="1"/>
    <s v="nontarget"/>
    <x v="19"/>
    <m/>
    <s v="yes"/>
    <n v="1"/>
    <n v="1"/>
    <n v="0"/>
    <n v="1"/>
  </r>
  <r>
    <n v="2"/>
    <n v="268"/>
    <n v="1"/>
    <x v="1"/>
    <x v="2"/>
    <s v="switch"/>
    <x v="19"/>
    <m/>
    <s v="no"/>
    <n v="0"/>
    <n v="0"/>
    <n v="0"/>
    <n v="0"/>
  </r>
  <r>
    <n v="3"/>
    <n v="269"/>
    <n v="1"/>
    <x v="1"/>
    <x v="0"/>
    <s v="filler"/>
    <x v="23"/>
    <m/>
    <m/>
    <n v="1"/>
    <n v="0"/>
    <n v="1"/>
    <n v="0"/>
  </r>
  <r>
    <n v="3"/>
    <n v="270"/>
    <n v="1"/>
    <x v="1"/>
    <x v="1"/>
    <s v="nontarget"/>
    <x v="28"/>
    <m/>
    <s v="yes"/>
    <n v="1"/>
    <n v="1"/>
    <n v="0"/>
    <n v="1"/>
  </r>
  <r>
    <n v="3"/>
    <n v="271"/>
    <n v="2"/>
    <x v="0"/>
    <x v="2"/>
    <s v="switch"/>
    <x v="28"/>
    <m/>
    <s v="no"/>
    <n v="0"/>
    <n v="0"/>
    <n v="0"/>
    <n v="0"/>
  </r>
  <r>
    <n v="3"/>
    <n v="272"/>
    <n v="2"/>
    <x v="0"/>
    <x v="0"/>
    <s v="filler"/>
    <x v="22"/>
    <m/>
    <m/>
    <n v="1"/>
    <n v="0"/>
    <n v="1"/>
    <n v="0"/>
  </r>
  <r>
    <n v="3"/>
    <n v="273"/>
    <n v="2"/>
    <x v="0"/>
    <x v="1"/>
    <s v="nontarget"/>
    <x v="31"/>
    <m/>
    <s v="yes"/>
    <n v="1"/>
    <n v="1"/>
    <n v="0"/>
    <n v="1"/>
  </r>
  <r>
    <n v="3"/>
    <n v="274"/>
    <n v="1"/>
    <x v="1"/>
    <x v="2"/>
    <s v="switch"/>
    <x v="31"/>
    <m/>
    <s v="no"/>
    <n v="0"/>
    <n v="0"/>
    <n v="0"/>
    <n v="0"/>
  </r>
  <r>
    <n v="3"/>
    <n v="275"/>
    <n v="1"/>
    <x v="1"/>
    <x v="1"/>
    <s v="nontarget"/>
    <x v="26"/>
    <m/>
    <s v="yes"/>
    <n v="1"/>
    <n v="1"/>
    <n v="1"/>
    <n v="0"/>
  </r>
  <r>
    <n v="3"/>
    <n v="276"/>
    <n v="2"/>
    <x v="0"/>
    <x v="2"/>
    <s v="switch"/>
    <x v="26"/>
    <m/>
    <s v="no"/>
    <n v="0"/>
    <n v="0"/>
    <n v="0"/>
    <n v="0"/>
  </r>
  <r>
    <n v="3"/>
    <n v="277"/>
    <n v="1"/>
    <x v="1"/>
    <x v="0"/>
    <s v="filler"/>
    <x v="24"/>
    <m/>
    <m/>
    <n v="0"/>
    <n v="0"/>
    <n v="1"/>
    <n v="0"/>
  </r>
  <r>
    <n v="3"/>
    <n v="278"/>
    <n v="2"/>
    <x v="0"/>
    <x v="1"/>
    <s v="nontarget"/>
    <x v="30"/>
    <m/>
    <s v="yes"/>
    <n v="0"/>
    <n v="1"/>
    <n v="0"/>
    <n v="1"/>
  </r>
  <r>
    <n v="3"/>
    <n v="279"/>
    <n v="2"/>
    <x v="0"/>
    <x v="2"/>
    <s v="repeat"/>
    <x v="30"/>
    <m/>
    <s v="no"/>
    <n v="1"/>
    <n v="0"/>
    <n v="0"/>
    <n v="0"/>
  </r>
  <r>
    <n v="3"/>
    <n v="280"/>
    <n v="1"/>
    <x v="1"/>
    <x v="0"/>
    <s v="filler"/>
    <x v="18"/>
    <m/>
    <m/>
    <n v="0"/>
    <n v="0"/>
    <n v="1"/>
    <n v="0"/>
  </r>
  <r>
    <n v="3"/>
    <n v="281"/>
    <n v="1"/>
    <x v="1"/>
    <x v="0"/>
    <s v="filler"/>
    <x v="17"/>
    <m/>
    <s v="yes"/>
    <n v="1"/>
    <n v="0"/>
    <n v="0"/>
    <n v="1"/>
  </r>
  <r>
    <n v="3"/>
    <n v="282"/>
    <n v="2"/>
    <x v="0"/>
    <x v="1"/>
    <s v="nontarget"/>
    <x v="32"/>
    <m/>
    <s v="yes"/>
    <n v="0"/>
    <n v="1"/>
    <n v="0"/>
    <n v="1"/>
  </r>
  <r>
    <n v="3"/>
    <n v="283"/>
    <n v="2"/>
    <x v="0"/>
    <x v="2"/>
    <s v="repeat"/>
    <x v="32"/>
    <m/>
    <s v="no"/>
    <n v="1"/>
    <n v="0"/>
    <n v="0"/>
    <n v="0"/>
  </r>
  <r>
    <n v="3"/>
    <n v="284"/>
    <n v="2"/>
    <x v="0"/>
    <x v="1"/>
    <s v="nontarget"/>
    <x v="29"/>
    <m/>
    <s v="yes"/>
    <n v="1"/>
    <n v="1"/>
    <n v="1"/>
    <n v="0"/>
  </r>
  <r>
    <n v="3"/>
    <n v="285"/>
    <n v="1"/>
    <x v="1"/>
    <x v="2"/>
    <s v="switch"/>
    <x v="29"/>
    <m/>
    <s v="no"/>
    <n v="0"/>
    <n v="0"/>
    <n v="0"/>
    <n v="0"/>
  </r>
  <r>
    <n v="3"/>
    <n v="286"/>
    <n v="2"/>
    <x v="0"/>
    <x v="0"/>
    <s v="filler"/>
    <x v="20"/>
    <m/>
    <m/>
    <n v="0"/>
    <n v="0"/>
    <n v="1"/>
    <n v="0"/>
  </r>
  <r>
    <n v="3"/>
    <n v="287"/>
    <n v="1"/>
    <x v="1"/>
    <x v="0"/>
    <s v="filler"/>
    <x v="21"/>
    <m/>
    <s v="yes"/>
    <n v="0"/>
    <n v="0"/>
    <n v="0"/>
    <n v="1"/>
  </r>
  <r>
    <n v="3"/>
    <n v="288"/>
    <n v="1"/>
    <x v="1"/>
    <x v="1"/>
    <s v="nontarget"/>
    <x v="27"/>
    <m/>
    <s v="yes"/>
    <n v="1"/>
    <n v="1"/>
    <n v="0"/>
    <n v="1"/>
  </r>
  <r>
    <n v="3"/>
    <n v="289"/>
    <n v="1"/>
    <x v="1"/>
    <x v="2"/>
    <s v="repeat"/>
    <x v="27"/>
    <m/>
    <s v="no"/>
    <n v="1"/>
    <n v="0"/>
    <n v="0"/>
    <n v="0"/>
  </r>
  <r>
    <n v="3"/>
    <n v="290"/>
    <n v="2"/>
    <x v="0"/>
    <x v="0"/>
    <s v="filler"/>
    <x v="19"/>
    <m/>
    <m/>
    <n v="0"/>
    <n v="0"/>
    <n v="1"/>
    <n v="0"/>
  </r>
  <r>
    <n v="3"/>
    <n v="291"/>
    <n v="1"/>
    <x v="1"/>
    <x v="1"/>
    <s v="nontarget"/>
    <x v="25"/>
    <m/>
    <s v="yes"/>
    <n v="0"/>
    <n v="1"/>
    <n v="0"/>
    <n v="1"/>
  </r>
  <r>
    <n v="3"/>
    <n v="292"/>
    <n v="1"/>
    <x v="1"/>
    <x v="2"/>
    <s v="repeat"/>
    <x v="25"/>
    <m/>
    <s v="no"/>
    <n v="1"/>
    <n v="0"/>
    <n v="0"/>
    <n v="0"/>
  </r>
  <r>
    <n v="3"/>
    <n v="293"/>
    <n v="2"/>
    <x v="0"/>
    <x v="0"/>
    <s v="filler"/>
    <x v="17"/>
    <m/>
    <m/>
    <n v="0"/>
    <n v="0"/>
    <n v="1"/>
    <n v="0"/>
  </r>
  <r>
    <n v="4"/>
    <n v="294"/>
    <n v="1"/>
    <x v="1"/>
    <x v="1"/>
    <s v="nontarget"/>
    <x v="11"/>
    <m/>
    <s v="yes"/>
    <n v="0"/>
    <n v="1"/>
    <n v="0"/>
    <n v="1"/>
  </r>
  <r>
    <n v="4"/>
    <n v="295"/>
    <n v="1"/>
    <x v="1"/>
    <x v="2"/>
    <s v="repeat"/>
    <x v="11"/>
    <m/>
    <s v="no"/>
    <n v="1"/>
    <n v="0"/>
    <n v="0"/>
    <n v="0"/>
  </r>
  <r>
    <n v="4"/>
    <n v="296"/>
    <n v="2"/>
    <x v="0"/>
    <x v="0"/>
    <s v="filler"/>
    <x v="28"/>
    <m/>
    <m/>
    <n v="0"/>
    <n v="0"/>
    <n v="1"/>
    <n v="0"/>
  </r>
  <r>
    <n v="4"/>
    <n v="297"/>
    <n v="1"/>
    <x v="1"/>
    <x v="1"/>
    <s v="nontarget"/>
    <x v="5"/>
    <m/>
    <s v="yes"/>
    <n v="0"/>
    <n v="1"/>
    <n v="0"/>
    <n v="1"/>
  </r>
  <r>
    <n v="4"/>
    <n v="298"/>
    <n v="2"/>
    <x v="0"/>
    <x v="2"/>
    <s v="switch"/>
    <x v="5"/>
    <m/>
    <s v="no"/>
    <n v="0"/>
    <n v="0"/>
    <n v="0"/>
    <n v="0"/>
  </r>
  <r>
    <n v="4"/>
    <n v="299"/>
    <n v="2"/>
    <x v="0"/>
    <x v="1"/>
    <s v="nontarget"/>
    <x v="4"/>
    <m/>
    <s v="yes"/>
    <n v="1"/>
    <n v="1"/>
    <n v="1"/>
    <n v="0"/>
  </r>
  <r>
    <n v="4"/>
    <n v="300"/>
    <n v="2"/>
    <x v="0"/>
    <x v="2"/>
    <s v="repeat"/>
    <x v="4"/>
    <m/>
    <s v="no"/>
    <n v="1"/>
    <n v="0"/>
    <n v="0"/>
    <n v="0"/>
  </r>
  <r>
    <n v="4"/>
    <n v="301"/>
    <n v="1"/>
    <x v="1"/>
    <x v="0"/>
    <s v="filler"/>
    <x v="31"/>
    <m/>
    <m/>
    <n v="0"/>
    <n v="0"/>
    <n v="1"/>
    <n v="0"/>
  </r>
  <r>
    <n v="4"/>
    <n v="302"/>
    <n v="1"/>
    <x v="1"/>
    <x v="0"/>
    <s v="filler"/>
    <x v="25"/>
    <m/>
    <s v="yes"/>
    <n v="1"/>
    <n v="0"/>
    <n v="0"/>
    <n v="1"/>
  </r>
  <r>
    <n v="4"/>
    <n v="303"/>
    <n v="2"/>
    <x v="0"/>
    <x v="0"/>
    <s v="filler"/>
    <x v="26"/>
    <m/>
    <s v="yes"/>
    <n v="0"/>
    <n v="0"/>
    <n v="0"/>
    <n v="1"/>
  </r>
  <r>
    <n v="4"/>
    <n v="304"/>
    <n v="2"/>
    <x v="0"/>
    <x v="1"/>
    <s v="nontarget"/>
    <x v="7"/>
    <m/>
    <s v="yes"/>
    <n v="1"/>
    <n v="1"/>
    <n v="0"/>
    <n v="1"/>
  </r>
  <r>
    <n v="4"/>
    <n v="305"/>
    <n v="1"/>
    <x v="1"/>
    <x v="2"/>
    <s v="switch"/>
    <x v="7"/>
    <m/>
    <s v="no"/>
    <n v="0"/>
    <n v="0"/>
    <n v="0"/>
    <n v="0"/>
  </r>
  <r>
    <n v="4"/>
    <n v="306"/>
    <n v="1"/>
    <x v="1"/>
    <x v="1"/>
    <s v="nontarget"/>
    <x v="2"/>
    <m/>
    <s v="yes"/>
    <n v="1"/>
    <n v="1"/>
    <n v="1"/>
    <n v="0"/>
  </r>
  <r>
    <n v="4"/>
    <n v="307"/>
    <n v="2"/>
    <x v="0"/>
    <x v="2"/>
    <s v="switch"/>
    <x v="2"/>
    <m/>
    <s v="no"/>
    <n v="0"/>
    <n v="0"/>
    <n v="0"/>
    <n v="0"/>
  </r>
  <r>
    <n v="4"/>
    <n v="308"/>
    <n v="1"/>
    <x v="1"/>
    <x v="0"/>
    <s v="filler"/>
    <x v="30"/>
    <m/>
    <m/>
    <n v="0"/>
    <n v="0"/>
    <n v="1"/>
    <n v="0"/>
  </r>
  <r>
    <n v="4"/>
    <n v="309"/>
    <n v="2"/>
    <x v="0"/>
    <x v="1"/>
    <s v="nontarget"/>
    <x v="15"/>
    <m/>
    <s v="yes"/>
    <n v="0"/>
    <n v="1"/>
    <n v="0"/>
    <n v="1"/>
  </r>
  <r>
    <n v="4"/>
    <n v="310"/>
    <n v="2"/>
    <x v="0"/>
    <x v="2"/>
    <s v="repeat"/>
    <x v="15"/>
    <m/>
    <s v="no"/>
    <n v="1"/>
    <n v="0"/>
    <n v="0"/>
    <n v="0"/>
  </r>
  <r>
    <n v="4"/>
    <n v="311"/>
    <n v="1"/>
    <x v="1"/>
    <x v="0"/>
    <s v="filler"/>
    <x v="32"/>
    <m/>
    <m/>
    <n v="0"/>
    <n v="0"/>
    <n v="1"/>
    <n v="0"/>
  </r>
  <r>
    <n v="4"/>
    <n v="312"/>
    <n v="2"/>
    <x v="0"/>
    <x v="0"/>
    <s v="filler"/>
    <x v="25"/>
    <m/>
    <s v="yes"/>
    <n v="0"/>
    <n v="0"/>
    <n v="0"/>
    <n v="1"/>
  </r>
  <r>
    <n v="4"/>
    <n v="313"/>
    <n v="2"/>
    <x v="0"/>
    <x v="1"/>
    <s v="nontarget"/>
    <x v="9"/>
    <m/>
    <s v="yes"/>
    <n v="1"/>
    <n v="1"/>
    <n v="0"/>
    <n v="1"/>
  </r>
  <r>
    <n v="4"/>
    <n v="314"/>
    <n v="1"/>
    <x v="1"/>
    <x v="2"/>
    <s v="switch"/>
    <x v="9"/>
    <m/>
    <s v="no"/>
    <n v="0"/>
    <n v="0"/>
    <n v="0"/>
    <n v="0"/>
  </r>
  <r>
    <n v="4"/>
    <n v="315"/>
    <n v="1"/>
    <x v="1"/>
    <x v="0"/>
    <s v="filler"/>
    <x v="29"/>
    <m/>
    <m/>
    <n v="1"/>
    <n v="0"/>
    <n v="1"/>
    <n v="0"/>
  </r>
  <r>
    <n v="4"/>
    <n v="316"/>
    <n v="2"/>
    <x v="0"/>
    <x v="0"/>
    <s v="filler"/>
    <x v="0"/>
    <s v="here"/>
    <s v="yes"/>
    <n v="0"/>
    <n v="0"/>
    <n v="0"/>
    <n v="1"/>
  </r>
  <r>
    <n v="4"/>
    <n v="317"/>
    <n v="1"/>
    <x v="1"/>
    <x v="0"/>
    <s v="filler"/>
    <x v="27"/>
    <m/>
    <s v="yes"/>
    <n v="0"/>
    <n v="0"/>
    <n v="0"/>
    <n v="1"/>
  </r>
  <r>
    <n v="4"/>
    <n v="318"/>
    <n v="1"/>
    <x v="1"/>
    <x v="1"/>
    <s v="nontarget"/>
    <x v="13"/>
    <m/>
    <s v="yes"/>
    <n v="1"/>
    <n v="1"/>
    <n v="0"/>
    <n v="1"/>
  </r>
  <r>
    <n v="4"/>
    <n v="319"/>
    <n v="1"/>
    <x v="1"/>
    <x v="2"/>
    <s v="repeat"/>
    <x v="13"/>
    <m/>
    <s v="no"/>
    <n v="1"/>
    <n v="0"/>
    <n v="0"/>
    <n v="0"/>
  </r>
  <r>
    <s v="BREAK"/>
    <n v="320"/>
    <m/>
    <x v="2"/>
    <x v="3"/>
    <m/>
    <x v="0"/>
    <m/>
    <s v="no"/>
    <n v="0"/>
    <n v="0"/>
    <n v="1"/>
    <n v="0"/>
  </r>
  <r>
    <n v="1"/>
    <n v="321"/>
    <n v="2"/>
    <x v="0"/>
    <x v="0"/>
    <s v="filler"/>
    <x v="5"/>
    <m/>
    <s v="yes"/>
    <n v="0"/>
    <n v="0"/>
    <n v="0"/>
    <n v="0"/>
  </r>
  <r>
    <n v="1"/>
    <n v="322"/>
    <n v="2"/>
    <x v="0"/>
    <x v="1"/>
    <s v="nontarget"/>
    <x v="10"/>
    <m/>
    <s v="yes"/>
    <n v="1"/>
    <n v="1"/>
    <n v="0"/>
    <n v="1"/>
  </r>
  <r>
    <n v="1"/>
    <n v="323"/>
    <n v="2"/>
    <x v="0"/>
    <x v="2"/>
    <s v="repeat"/>
    <x v="10"/>
    <m/>
    <s v="no"/>
    <n v="1"/>
    <n v="0"/>
    <n v="0"/>
    <n v="0"/>
  </r>
  <r>
    <n v="1"/>
    <n v="324"/>
    <n v="1"/>
    <x v="1"/>
    <x v="0"/>
    <s v="filler"/>
    <x v="9"/>
    <m/>
    <m/>
    <n v="0"/>
    <n v="0"/>
    <n v="1"/>
    <n v="0"/>
  </r>
  <r>
    <n v="1"/>
    <n v="325"/>
    <n v="1"/>
    <x v="1"/>
    <x v="0"/>
    <s v="filler"/>
    <x v="11"/>
    <m/>
    <s v="yes"/>
    <n v="1"/>
    <n v="0"/>
    <n v="0"/>
    <n v="1"/>
  </r>
  <r>
    <n v="1"/>
    <n v="326"/>
    <n v="1"/>
    <x v="1"/>
    <x v="0"/>
    <s v="filler"/>
    <x v="2"/>
    <m/>
    <m/>
    <n v="1"/>
    <n v="0"/>
    <n v="0"/>
    <n v="1"/>
  </r>
  <r>
    <n v="1"/>
    <n v="327"/>
    <n v="2"/>
    <x v="0"/>
    <x v="1"/>
    <s v="nontarget"/>
    <x v="16"/>
    <m/>
    <s v="yes"/>
    <n v="0"/>
    <n v="1"/>
    <n v="0"/>
    <n v="1"/>
  </r>
  <r>
    <n v="1"/>
    <n v="328"/>
    <n v="2"/>
    <x v="0"/>
    <x v="2"/>
    <s v="repeat"/>
    <x v="16"/>
    <m/>
    <s v="no"/>
    <n v="1"/>
    <n v="0"/>
    <n v="0"/>
    <n v="0"/>
  </r>
  <r>
    <n v="1"/>
    <n v="329"/>
    <n v="1"/>
    <x v="1"/>
    <x v="0"/>
    <s v="filler"/>
    <x v="15"/>
    <m/>
    <m/>
    <n v="0"/>
    <n v="0"/>
    <n v="1"/>
    <n v="0"/>
  </r>
  <r>
    <n v="1"/>
    <n v="330"/>
    <n v="2"/>
    <x v="0"/>
    <x v="1"/>
    <s v="nontarget"/>
    <x v="14"/>
    <m/>
    <s v="yes"/>
    <n v="0"/>
    <n v="1"/>
    <n v="0"/>
    <n v="1"/>
  </r>
  <r>
    <n v="1"/>
    <n v="331"/>
    <n v="1"/>
    <x v="1"/>
    <x v="2"/>
    <s v="switch"/>
    <x v="14"/>
    <m/>
    <s v="no"/>
    <n v="0"/>
    <n v="0"/>
    <n v="0"/>
    <n v="0"/>
  </r>
  <r>
    <n v="1"/>
    <n v="332"/>
    <n v="1"/>
    <x v="1"/>
    <x v="0"/>
    <s v="filler"/>
    <x v="11"/>
    <m/>
    <m/>
    <n v="1"/>
    <n v="0"/>
    <n v="1"/>
    <n v="0"/>
  </r>
  <r>
    <n v="1"/>
    <n v="333"/>
    <n v="1"/>
    <x v="1"/>
    <x v="1"/>
    <s v="nontarget"/>
    <x v="6"/>
    <m/>
    <s v="yes"/>
    <n v="1"/>
    <n v="1"/>
    <n v="0"/>
    <n v="1"/>
  </r>
  <r>
    <n v="1"/>
    <n v="334"/>
    <n v="2"/>
    <x v="0"/>
    <x v="2"/>
    <s v="switch"/>
    <x v="6"/>
    <m/>
    <s v="no"/>
    <n v="0"/>
    <n v="0"/>
    <n v="0"/>
    <n v="0"/>
  </r>
  <r>
    <n v="1"/>
    <n v="335"/>
    <n v="2"/>
    <x v="0"/>
    <x v="1"/>
    <s v="nontarget"/>
    <x v="3"/>
    <m/>
    <s v="yes"/>
    <n v="1"/>
    <n v="1"/>
    <n v="1"/>
    <n v="0"/>
  </r>
  <r>
    <n v="1"/>
    <n v="336"/>
    <n v="1"/>
    <x v="1"/>
    <x v="2"/>
    <s v="switch"/>
    <x v="3"/>
    <m/>
    <s v="no"/>
    <n v="0"/>
    <n v="0"/>
    <n v="0"/>
    <n v="0"/>
  </r>
  <r>
    <n v="1"/>
    <n v="337"/>
    <n v="1"/>
    <x v="1"/>
    <x v="0"/>
    <s v="filler"/>
    <x v="13"/>
    <m/>
    <m/>
    <n v="1"/>
    <n v="0"/>
    <n v="1"/>
    <n v="0"/>
  </r>
  <r>
    <n v="1"/>
    <n v="338"/>
    <n v="2"/>
    <x v="0"/>
    <x v="0"/>
    <s v="filler"/>
    <x v="7"/>
    <m/>
    <s v="yes"/>
    <n v="0"/>
    <n v="0"/>
    <n v="0"/>
    <n v="1"/>
  </r>
  <r>
    <n v="1"/>
    <n v="339"/>
    <n v="1"/>
    <x v="1"/>
    <x v="1"/>
    <s v="nontarget"/>
    <x v="8"/>
    <m/>
    <s v="yes"/>
    <n v="0"/>
    <n v="1"/>
    <n v="0"/>
    <n v="1"/>
  </r>
  <r>
    <n v="1"/>
    <n v="340"/>
    <n v="1"/>
    <x v="1"/>
    <x v="2"/>
    <s v="repeat"/>
    <x v="8"/>
    <m/>
    <s v="no"/>
    <n v="1"/>
    <n v="0"/>
    <n v="0"/>
    <n v="0"/>
  </r>
  <r>
    <n v="1"/>
    <n v="341"/>
    <n v="2"/>
    <x v="0"/>
    <x v="0"/>
    <s v="filler"/>
    <x v="4"/>
    <m/>
    <m/>
    <n v="0"/>
    <n v="0"/>
    <n v="1"/>
    <n v="0"/>
  </r>
  <r>
    <n v="1"/>
    <n v="342"/>
    <n v="1"/>
    <x v="1"/>
    <x v="1"/>
    <s v="nontarget"/>
    <x v="1"/>
    <m/>
    <s v="yes"/>
    <n v="0"/>
    <n v="1"/>
    <n v="0"/>
    <n v="1"/>
  </r>
  <r>
    <n v="1"/>
    <n v="343"/>
    <n v="1"/>
    <x v="1"/>
    <x v="2"/>
    <s v="repeat"/>
    <x v="1"/>
    <m/>
    <s v="no"/>
    <n v="1"/>
    <n v="0"/>
    <n v="0"/>
    <n v="0"/>
  </r>
  <r>
    <n v="1"/>
    <n v="344"/>
    <n v="1"/>
    <x v="1"/>
    <x v="1"/>
    <s v="nontarget"/>
    <x v="12"/>
    <m/>
    <s v="yes"/>
    <n v="1"/>
    <n v="1"/>
    <n v="1"/>
    <n v="0"/>
  </r>
  <r>
    <n v="1"/>
    <n v="345"/>
    <n v="2"/>
    <x v="0"/>
    <x v="2"/>
    <s v="switch"/>
    <x v="12"/>
    <m/>
    <s v="no"/>
    <n v="0"/>
    <n v="0"/>
    <n v="0"/>
    <n v="0"/>
  </r>
  <r>
    <n v="2"/>
    <n v="346"/>
    <n v="1"/>
    <x v="1"/>
    <x v="0"/>
    <s v="filler"/>
    <x v="10"/>
    <m/>
    <m/>
    <n v="0"/>
    <n v="0"/>
    <n v="1"/>
    <n v="0"/>
  </r>
  <r>
    <n v="2"/>
    <n v="347"/>
    <n v="1"/>
    <x v="1"/>
    <x v="1"/>
    <s v="nontarget"/>
    <x v="24"/>
    <m/>
    <s v="yes"/>
    <n v="1"/>
    <n v="1"/>
    <n v="0"/>
    <n v="1"/>
  </r>
  <r>
    <n v="2"/>
    <n v="348"/>
    <n v="1"/>
    <x v="1"/>
    <x v="2"/>
    <s v="repeat"/>
    <x v="24"/>
    <m/>
    <s v="no"/>
    <n v="1"/>
    <n v="0"/>
    <n v="0"/>
    <n v="0"/>
  </r>
  <r>
    <n v="2"/>
    <n v="349"/>
    <n v="2"/>
    <x v="0"/>
    <x v="0"/>
    <s v="filler"/>
    <x v="1"/>
    <m/>
    <m/>
    <n v="0"/>
    <n v="0"/>
    <n v="1"/>
    <n v="0"/>
  </r>
  <r>
    <n v="2"/>
    <n v="350"/>
    <n v="2"/>
    <x v="0"/>
    <x v="0"/>
    <s v="filler"/>
    <x v="3"/>
    <m/>
    <s v="yes"/>
    <n v="1"/>
    <n v="0"/>
    <n v="0"/>
    <n v="1"/>
  </r>
  <r>
    <n v="2"/>
    <n v="351"/>
    <n v="1"/>
    <x v="1"/>
    <x v="1"/>
    <s v="nontarget"/>
    <x v="20"/>
    <m/>
    <s v="yes"/>
    <n v="0"/>
    <n v="1"/>
    <n v="0"/>
    <n v="1"/>
  </r>
  <r>
    <n v="2"/>
    <n v="352"/>
    <n v="1"/>
    <x v="1"/>
    <x v="2"/>
    <s v="repeat"/>
    <x v="20"/>
    <m/>
    <s v="no"/>
    <n v="1"/>
    <n v="0"/>
    <n v="0"/>
    <n v="0"/>
  </r>
  <r>
    <n v="2"/>
    <n v="353"/>
    <n v="1"/>
    <x v="1"/>
    <x v="0"/>
    <s v="filler"/>
    <x v="16"/>
    <m/>
    <m/>
    <n v="1"/>
    <n v="0"/>
    <n v="1"/>
    <n v="0"/>
  </r>
  <r>
    <n v="2"/>
    <n v="354"/>
    <n v="2"/>
    <x v="0"/>
    <x v="0"/>
    <s v="filler"/>
    <x v="0"/>
    <s v="here"/>
    <s v="yes"/>
    <n v="0"/>
    <n v="0"/>
    <n v="0"/>
    <n v="1"/>
  </r>
  <r>
    <n v="2"/>
    <n v="355"/>
    <n v="1"/>
    <x v="1"/>
    <x v="0"/>
    <s v="filler"/>
    <x v="14"/>
    <m/>
    <s v="yes"/>
    <n v="0"/>
    <n v="0"/>
    <n v="0"/>
    <n v="1"/>
  </r>
  <r>
    <n v="2"/>
    <n v="356"/>
    <n v="1"/>
    <x v="1"/>
    <x v="1"/>
    <s v="nontarget"/>
    <x v="22"/>
    <m/>
    <s v="yes"/>
    <n v="1"/>
    <n v="1"/>
    <n v="0"/>
    <n v="1"/>
  </r>
  <r>
    <n v="2"/>
    <n v="357"/>
    <n v="1"/>
    <x v="0"/>
    <x v="2"/>
    <s v="switch"/>
    <x v="22"/>
    <m/>
    <s v="no"/>
    <n v="0"/>
    <n v="0"/>
    <n v="0"/>
    <n v="0"/>
  </r>
  <r>
    <n v="2"/>
    <n v="358"/>
    <n v="2"/>
    <x v="0"/>
    <x v="0"/>
    <s v="filler"/>
    <x v="6"/>
    <m/>
    <m/>
    <n v="1"/>
    <n v="0"/>
    <n v="1"/>
    <n v="0"/>
  </r>
  <r>
    <n v="2"/>
    <n v="359"/>
    <n v="2"/>
    <x v="0"/>
    <x v="1"/>
    <s v="nontarget"/>
    <x v="18"/>
    <m/>
    <s v="yes"/>
    <n v="1"/>
    <n v="1"/>
    <n v="0"/>
    <n v="1"/>
  </r>
  <r>
    <n v="2"/>
    <n v="360"/>
    <n v="1"/>
    <x v="1"/>
    <x v="2"/>
    <s v="switch"/>
    <x v="18"/>
    <m/>
    <s v="no"/>
    <n v="0"/>
    <n v="0"/>
    <n v="0"/>
    <n v="0"/>
  </r>
  <r>
    <n v="2"/>
    <n v="361"/>
    <n v="1"/>
    <x v="1"/>
    <x v="0"/>
    <s v="filler"/>
    <x v="3"/>
    <m/>
    <m/>
    <n v="1"/>
    <n v="0"/>
    <n v="1"/>
    <n v="0"/>
  </r>
  <r>
    <n v="2"/>
    <n v="362"/>
    <n v="1"/>
    <x v="1"/>
    <x v="1"/>
    <s v="nontarget"/>
    <x v="23"/>
    <m/>
    <s v="yes"/>
    <n v="1"/>
    <n v="1"/>
    <n v="0"/>
    <n v="1"/>
  </r>
  <r>
    <n v="2"/>
    <n v="363"/>
    <n v="2"/>
    <x v="0"/>
    <x v="2"/>
    <s v="switch"/>
    <x v="23"/>
    <m/>
    <s v="no"/>
    <n v="0"/>
    <n v="0"/>
    <n v="0"/>
    <n v="0"/>
  </r>
  <r>
    <n v="2"/>
    <n v="364"/>
    <n v="2"/>
    <x v="0"/>
    <x v="1"/>
    <s v="nontarget"/>
    <x v="19"/>
    <m/>
    <s v="yes"/>
    <n v="1"/>
    <n v="1"/>
    <n v="1"/>
    <n v="0"/>
  </r>
  <r>
    <n v="2"/>
    <n v="365"/>
    <n v="2"/>
    <x v="0"/>
    <x v="2"/>
    <s v="repeat"/>
    <x v="19"/>
    <m/>
    <s v="no"/>
    <n v="1"/>
    <n v="0"/>
    <n v="0"/>
    <n v="0"/>
  </r>
  <r>
    <n v="2"/>
    <n v="366"/>
    <n v="1"/>
    <x v="1"/>
    <x v="0"/>
    <s v="filler"/>
    <x v="8"/>
    <m/>
    <m/>
    <n v="0"/>
    <n v="0"/>
    <n v="1"/>
    <n v="0"/>
  </r>
  <r>
    <n v="2"/>
    <n v="367"/>
    <n v="2"/>
    <x v="0"/>
    <x v="1"/>
    <s v="nontarget"/>
    <x v="21"/>
    <m/>
    <s v="yes"/>
    <n v="0"/>
    <n v="1"/>
    <n v="0"/>
    <n v="1"/>
  </r>
  <r>
    <n v="2"/>
    <n v="368"/>
    <n v="2"/>
    <x v="0"/>
    <x v="2"/>
    <s v="repeat"/>
    <x v="21"/>
    <m/>
    <s v="no"/>
    <n v="1"/>
    <n v="0"/>
    <n v="0"/>
    <n v="0"/>
  </r>
  <r>
    <n v="2"/>
    <n v="369"/>
    <n v="1"/>
    <x v="1"/>
    <x v="0"/>
    <s v="filler"/>
    <x v="0"/>
    <s v="here"/>
    <m/>
    <n v="0"/>
    <n v="0"/>
    <n v="1"/>
    <n v="0"/>
  </r>
  <r>
    <n v="2"/>
    <n v="370"/>
    <n v="2"/>
    <x v="0"/>
    <x v="0"/>
    <s v="filler"/>
    <x v="12"/>
    <m/>
    <s v="yes"/>
    <n v="0"/>
    <n v="0"/>
    <n v="0"/>
    <n v="1"/>
  </r>
  <r>
    <n v="2"/>
    <n v="371"/>
    <n v="2"/>
    <x v="0"/>
    <x v="1"/>
    <s v="nontarget"/>
    <x v="17"/>
    <m/>
    <s v="yes"/>
    <n v="1"/>
    <n v="1"/>
    <n v="0"/>
    <n v="1"/>
  </r>
  <r>
    <n v="2"/>
    <n v="372"/>
    <n v="1"/>
    <x v="1"/>
    <x v="2"/>
    <s v="switch"/>
    <x v="17"/>
    <m/>
    <s v="no"/>
    <n v="0"/>
    <n v="0"/>
    <n v="0"/>
    <n v="0"/>
  </r>
  <r>
    <n v="3"/>
    <n v="373"/>
    <n v="1"/>
    <x v="1"/>
    <x v="1"/>
    <s v="nontarget"/>
    <x v="29"/>
    <m/>
    <s v="yes"/>
    <n v="1"/>
    <n v="1"/>
    <n v="1"/>
    <n v="0"/>
  </r>
  <r>
    <n v="3"/>
    <n v="374"/>
    <n v="2"/>
    <x v="0"/>
    <x v="2"/>
    <s v="switch"/>
    <x v="29"/>
    <m/>
    <s v="no"/>
    <n v="0"/>
    <n v="0"/>
    <n v="0"/>
    <n v="0"/>
  </r>
  <r>
    <n v="3"/>
    <n v="375"/>
    <n v="2"/>
    <x v="0"/>
    <x v="0"/>
    <s v="filler"/>
    <x v="24"/>
    <m/>
    <m/>
    <n v="1"/>
    <n v="0"/>
    <n v="1"/>
    <n v="0"/>
  </r>
  <r>
    <n v="3"/>
    <n v="376"/>
    <n v="2"/>
    <x v="0"/>
    <x v="1"/>
    <s v="nontarget"/>
    <x v="25"/>
    <m/>
    <s v="yes"/>
    <n v="1"/>
    <n v="1"/>
    <n v="0"/>
    <n v="1"/>
  </r>
  <r>
    <n v="3"/>
    <n v="377"/>
    <n v="1"/>
    <x v="1"/>
    <x v="2"/>
    <s v="switch"/>
    <x v="25"/>
    <m/>
    <s v="no"/>
    <n v="0"/>
    <n v="0"/>
    <n v="0"/>
    <n v="0"/>
  </r>
  <r>
    <n v="3"/>
    <n v="378"/>
    <n v="1"/>
    <x v="1"/>
    <x v="0"/>
    <s v="filler"/>
    <x v="20"/>
    <m/>
    <m/>
    <n v="1"/>
    <n v="0"/>
    <n v="1"/>
    <n v="0"/>
  </r>
  <r>
    <n v="3"/>
    <n v="379"/>
    <n v="1"/>
    <x v="1"/>
    <x v="1"/>
    <s v="nontarget"/>
    <x v="31"/>
    <m/>
    <s v="yes"/>
    <n v="1"/>
    <n v="1"/>
    <n v="0"/>
    <n v="1"/>
  </r>
  <r>
    <n v="3"/>
    <n v="380"/>
    <n v="2"/>
    <x v="0"/>
    <x v="2"/>
    <s v="switch"/>
    <x v="31"/>
    <m/>
    <s v="no"/>
    <n v="0"/>
    <n v="0"/>
    <n v="0"/>
    <n v="0"/>
  </r>
  <r>
    <n v="3"/>
    <n v="381"/>
    <n v="1"/>
    <x v="1"/>
    <x v="0"/>
    <s v="filler"/>
    <x v="22"/>
    <m/>
    <m/>
    <n v="0"/>
    <n v="0"/>
    <n v="1"/>
    <n v="0"/>
  </r>
  <r>
    <n v="3"/>
    <n v="382"/>
    <n v="1"/>
    <x v="1"/>
    <x v="0"/>
    <s v="filler"/>
    <x v="19"/>
    <m/>
    <m/>
    <n v="1"/>
    <n v="0"/>
    <n v="0"/>
    <n v="1"/>
  </r>
  <r>
    <n v="3"/>
    <n v="383"/>
    <n v="2"/>
    <x v="0"/>
    <x v="1"/>
    <s v="nontarget"/>
    <x v="27"/>
    <m/>
    <s v="yes"/>
    <n v="0"/>
    <n v="1"/>
    <n v="0"/>
    <n v="1"/>
  </r>
  <r>
    <n v="3"/>
    <n v="384"/>
    <n v="2"/>
    <x v="0"/>
    <x v="2"/>
    <s v="repeat"/>
    <x v="27"/>
    <m/>
    <s v="no"/>
    <n v="1"/>
    <n v="0"/>
    <n v="0"/>
    <n v="0"/>
  </r>
  <r>
    <n v="3"/>
    <n v="385"/>
    <n v="2"/>
    <x v="0"/>
    <x v="0"/>
    <s v="filler"/>
    <x v="18"/>
    <m/>
    <m/>
    <n v="1"/>
    <n v="0"/>
    <n v="1"/>
    <n v="0"/>
  </r>
  <r>
    <n v="3"/>
    <n v="386"/>
    <n v="1"/>
    <x v="1"/>
    <x v="0"/>
    <s v="filler"/>
    <x v="23"/>
    <m/>
    <s v="yes"/>
    <n v="0"/>
    <n v="0"/>
    <n v="0"/>
    <n v="1"/>
  </r>
  <r>
    <n v="3"/>
    <n v="387"/>
    <n v="2"/>
    <x v="0"/>
    <x v="1"/>
    <s v="nontarget"/>
    <x v="26"/>
    <m/>
    <s v="yes"/>
    <n v="0"/>
    <n v="1"/>
    <n v="0"/>
    <n v="1"/>
  </r>
  <r>
    <n v="3"/>
    <n v="388"/>
    <n v="2"/>
    <x v="0"/>
    <x v="2"/>
    <s v="repeat"/>
    <x v="26"/>
    <m/>
    <s v="no"/>
    <n v="1"/>
    <n v="0"/>
    <n v="0"/>
    <n v="0"/>
  </r>
  <r>
    <n v="3"/>
    <n v="389"/>
    <n v="2"/>
    <x v="0"/>
    <x v="1"/>
    <s v="nontarget"/>
    <x v="32"/>
    <m/>
    <s v="yes"/>
    <n v="1"/>
    <n v="1"/>
    <n v="1"/>
    <n v="0"/>
  </r>
  <r>
    <n v="3"/>
    <n v="390"/>
    <n v="1"/>
    <x v="1"/>
    <x v="2"/>
    <s v="switch"/>
    <x v="32"/>
    <m/>
    <s v="no"/>
    <n v="0"/>
    <n v="0"/>
    <n v="0"/>
    <n v="0"/>
  </r>
  <r>
    <n v="3"/>
    <n v="391"/>
    <n v="2"/>
    <x v="0"/>
    <x v="0"/>
    <s v="filler"/>
    <x v="21"/>
    <m/>
    <m/>
    <n v="0"/>
    <n v="0"/>
    <n v="1"/>
    <n v="0"/>
  </r>
  <r>
    <n v="3"/>
    <n v="392"/>
    <n v="2"/>
    <x v="0"/>
    <x v="0"/>
    <s v="filler"/>
    <x v="20"/>
    <m/>
    <s v="yes"/>
    <n v="1"/>
    <n v="0"/>
    <n v="0"/>
    <n v="1"/>
  </r>
  <r>
    <n v="3"/>
    <n v="393"/>
    <n v="1"/>
    <x v="1"/>
    <x v="0"/>
    <s v="filler"/>
    <x v="19"/>
    <m/>
    <m/>
    <n v="0"/>
    <n v="0"/>
    <n v="0"/>
    <n v="1"/>
  </r>
  <r>
    <n v="3"/>
    <n v="394"/>
    <n v="1"/>
    <x v="1"/>
    <x v="1"/>
    <s v="nontarget"/>
    <x v="30"/>
    <m/>
    <s v="yes"/>
    <n v="1"/>
    <n v="1"/>
    <n v="0"/>
    <n v="1"/>
  </r>
  <r>
    <n v="3"/>
    <n v="395"/>
    <n v="1"/>
    <x v="1"/>
    <x v="2"/>
    <s v="repeat"/>
    <x v="30"/>
    <m/>
    <s v="no"/>
    <n v="1"/>
    <n v="0"/>
    <n v="0"/>
    <n v="0"/>
  </r>
  <r>
    <n v="3"/>
    <n v="396"/>
    <n v="2"/>
    <x v="0"/>
    <x v="0"/>
    <s v="filler"/>
    <x v="17"/>
    <m/>
    <m/>
    <n v="0"/>
    <n v="0"/>
    <n v="1"/>
    <n v="0"/>
  </r>
  <r>
    <n v="3"/>
    <n v="397"/>
    <n v="1"/>
    <x v="1"/>
    <x v="1"/>
    <s v="nontarget"/>
    <x v="28"/>
    <m/>
    <s v="yes"/>
    <n v="0"/>
    <n v="1"/>
    <n v="0"/>
    <n v="1"/>
  </r>
  <r>
    <n v="3"/>
    <n v="398"/>
    <n v="1"/>
    <x v="1"/>
    <x v="2"/>
    <s v="repeat"/>
    <x v="28"/>
    <m/>
    <s v="no"/>
    <n v="1"/>
    <n v="0"/>
    <n v="0"/>
    <n v="0"/>
  </r>
  <r>
    <n v="4"/>
    <n v="399"/>
    <n v="1"/>
    <x v="1"/>
    <x v="0"/>
    <s v="filler"/>
    <x v="25"/>
    <m/>
    <m/>
    <n v="1"/>
    <n v="0"/>
    <n v="1"/>
    <n v="0"/>
  </r>
  <r>
    <n v="4"/>
    <n v="400"/>
    <n v="2"/>
    <x v="0"/>
    <x v="0"/>
    <s v="filler"/>
    <x v="29"/>
    <m/>
    <s v="yes"/>
    <n v="0"/>
    <n v="0"/>
    <n v="0"/>
    <n v="1"/>
  </r>
  <r>
    <n v="4"/>
    <n v="401"/>
    <n v="2"/>
    <x v="0"/>
    <x v="0"/>
    <s v="filler"/>
    <x v="32"/>
    <m/>
    <s v="yes"/>
    <n v="1"/>
    <n v="0"/>
    <n v="0"/>
    <n v="1"/>
  </r>
  <r>
    <n v="4"/>
    <n v="402"/>
    <n v="1"/>
    <x v="1"/>
    <x v="1"/>
    <s v="nontarget"/>
    <x v="5"/>
    <m/>
    <s v="yes"/>
    <n v="0"/>
    <n v="1"/>
    <n v="0"/>
    <n v="1"/>
  </r>
  <r>
    <n v="4"/>
    <n v="403"/>
    <n v="1"/>
    <x v="1"/>
    <x v="2"/>
    <s v="repeat"/>
    <x v="5"/>
    <m/>
    <s v="no"/>
    <n v="1"/>
    <n v="0"/>
    <n v="0"/>
    <n v="0"/>
  </r>
  <r>
    <n v="4"/>
    <n v="404"/>
    <n v="1"/>
    <x v="1"/>
    <x v="1"/>
    <s v="nontarget"/>
    <x v="9"/>
    <m/>
    <s v="yes"/>
    <n v="1"/>
    <n v="1"/>
    <n v="1"/>
    <n v="0"/>
  </r>
  <r>
    <n v="4"/>
    <n v="405"/>
    <n v="2"/>
    <x v="0"/>
    <x v="2"/>
    <s v="switch"/>
    <x v="9"/>
    <m/>
    <s v="no"/>
    <n v="0"/>
    <n v="0"/>
    <n v="0"/>
    <n v="0"/>
  </r>
  <r>
    <n v="4"/>
    <n v="406"/>
    <n v="1"/>
    <x v="1"/>
    <x v="0"/>
    <s v="filler"/>
    <x v="31"/>
    <m/>
    <m/>
    <n v="0"/>
    <n v="0"/>
    <n v="1"/>
    <n v="0"/>
  </r>
  <r>
    <n v="4"/>
    <n v="407"/>
    <n v="2"/>
    <x v="0"/>
    <x v="1"/>
    <s v="nontarget"/>
    <x v="7"/>
    <m/>
    <s v="yes"/>
    <n v="0"/>
    <n v="1"/>
    <n v="0"/>
    <n v="1"/>
  </r>
  <r>
    <n v="4"/>
    <n v="408"/>
    <n v="2"/>
    <x v="0"/>
    <x v="2"/>
    <s v="repeat"/>
    <x v="7"/>
    <m/>
    <s v="no"/>
    <n v="1"/>
    <n v="0"/>
    <n v="0"/>
    <n v="0"/>
  </r>
  <r>
    <n v="4"/>
    <n v="409"/>
    <n v="2"/>
    <x v="0"/>
    <x v="1"/>
    <s v="nontarget"/>
    <x v="2"/>
    <m/>
    <s v="yes"/>
    <n v="1"/>
    <n v="1"/>
    <n v="1"/>
    <n v="0"/>
  </r>
  <r>
    <n v="4"/>
    <n v="410"/>
    <n v="1"/>
    <x v="1"/>
    <x v="2"/>
    <s v="switch"/>
    <x v="2"/>
    <m/>
    <s v="no"/>
    <n v="0"/>
    <n v="0"/>
    <n v="0"/>
    <n v="0"/>
  </r>
  <r>
    <n v="4"/>
    <n v="411"/>
    <n v="2"/>
    <x v="0"/>
    <x v="0"/>
    <s v="filler"/>
    <x v="27"/>
    <m/>
    <m/>
    <n v="0"/>
    <n v="0"/>
    <n v="1"/>
    <n v="0"/>
  </r>
  <r>
    <n v="4"/>
    <n v="412"/>
    <n v="1"/>
    <x v="1"/>
    <x v="1"/>
    <s v="nontarget"/>
    <x v="11"/>
    <m/>
    <s v="yes"/>
    <n v="0"/>
    <n v="1"/>
    <n v="0"/>
    <n v="1"/>
  </r>
  <r>
    <n v="4"/>
    <n v="413"/>
    <n v="2"/>
    <x v="0"/>
    <x v="2"/>
    <s v="switch"/>
    <x v="11"/>
    <m/>
    <s v="no"/>
    <n v="0"/>
    <n v="0"/>
    <n v="0"/>
    <n v="0"/>
  </r>
  <r>
    <n v="4"/>
    <n v="414"/>
    <n v="1"/>
    <x v="1"/>
    <x v="0"/>
    <s v="filler"/>
    <x v="0"/>
    <s v="here"/>
    <m/>
    <n v="0"/>
    <n v="0"/>
    <n v="1"/>
    <n v="0"/>
  </r>
  <r>
    <n v="4"/>
    <n v="415"/>
    <n v="2"/>
    <x v="0"/>
    <x v="0"/>
    <s v="filler"/>
    <x v="26"/>
    <m/>
    <s v="yes"/>
    <n v="0"/>
    <n v="0"/>
    <n v="0"/>
    <n v="1"/>
  </r>
  <r>
    <n v="4"/>
    <n v="416"/>
    <n v="2"/>
    <x v="0"/>
    <x v="1"/>
    <s v="nontarget"/>
    <x v="13"/>
    <m/>
    <s v="yes"/>
    <n v="1"/>
    <n v="1"/>
    <n v="0"/>
    <n v="1"/>
  </r>
  <r>
    <n v="4"/>
    <n v="417"/>
    <n v="2"/>
    <x v="0"/>
    <x v="2"/>
    <s v="repeat"/>
    <x v="13"/>
    <m/>
    <s v="no"/>
    <n v="1"/>
    <n v="0"/>
    <n v="0"/>
    <n v="0"/>
  </r>
  <r>
    <n v="4"/>
    <n v="418"/>
    <n v="1"/>
    <x v="1"/>
    <x v="0"/>
    <s v="filler"/>
    <x v="32"/>
    <m/>
    <m/>
    <n v="0"/>
    <n v="0"/>
    <n v="1"/>
    <n v="0"/>
  </r>
  <r>
    <n v="4"/>
    <n v="419"/>
    <n v="2"/>
    <x v="0"/>
    <x v="0"/>
    <s v="filler"/>
    <x v="30"/>
    <m/>
    <s v="yes"/>
    <n v="0"/>
    <n v="0"/>
    <n v="0"/>
    <n v="1"/>
  </r>
  <r>
    <n v="4"/>
    <n v="420"/>
    <n v="2"/>
    <x v="0"/>
    <x v="1"/>
    <s v="nontarget"/>
    <x v="15"/>
    <m/>
    <s v="yes"/>
    <n v="1"/>
    <n v="1"/>
    <n v="0"/>
    <n v="1"/>
  </r>
  <r>
    <n v="4"/>
    <n v="421"/>
    <n v="1"/>
    <x v="1"/>
    <x v="2"/>
    <s v="switch"/>
    <x v="15"/>
    <m/>
    <s v="no"/>
    <n v="0"/>
    <n v="0"/>
    <n v="0"/>
    <n v="0"/>
  </r>
  <r>
    <n v="4"/>
    <n v="422"/>
    <n v="2"/>
    <x v="0"/>
    <x v="0"/>
    <s v="filler"/>
    <x v="0"/>
    <s v="here"/>
    <m/>
    <n v="0"/>
    <n v="0"/>
    <n v="1"/>
    <n v="0"/>
  </r>
  <r>
    <n v="4"/>
    <n v="423"/>
    <n v="1"/>
    <x v="1"/>
    <x v="0"/>
    <s v="filler"/>
    <x v="28"/>
    <m/>
    <m/>
    <n v="0"/>
    <n v="0"/>
    <n v="0"/>
    <n v="1"/>
  </r>
  <r>
    <n v="4"/>
    <n v="424"/>
    <n v="1"/>
    <x v="1"/>
    <x v="1"/>
    <s v="nontarget"/>
    <x v="4"/>
    <m/>
    <s v="yes"/>
    <n v="1"/>
    <n v="1"/>
    <n v="0"/>
    <n v="1"/>
  </r>
  <r>
    <n v="4"/>
    <n v="425"/>
    <n v="1"/>
    <x v="1"/>
    <x v="2"/>
    <s v="repeat"/>
    <x v="4"/>
    <m/>
    <s v="no"/>
    <n v="1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E73660-6690-43EF-B61D-E402C9C1CAB1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G19" firstHeaderRow="1" firstDataRow="3" firstDataCol="1" rowPageCount="1" colPageCount="1"/>
  <pivotFields count="13"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axis="axisRow" showAll="0">
      <items count="5">
        <item h="1" x="3"/>
        <item x="0"/>
        <item x="1"/>
        <item h="1" x="2"/>
        <item t="default" sd="0"/>
      </items>
    </pivotField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</pivotFields>
  <rowFields count="2">
    <field x="4"/>
    <field x="3"/>
  </rowFields>
  <rowItems count="7">
    <i>
      <x v="1"/>
    </i>
    <i r="1">
      <x v="1"/>
    </i>
    <i r="1">
      <x v="2"/>
    </i>
    <i>
      <x v="2"/>
    </i>
    <i r="1">
      <x v="1"/>
    </i>
    <i r="1">
      <x v="2"/>
    </i>
    <i t="grand">
      <x/>
    </i>
  </rowItems>
  <colFields count="2">
    <field x="9"/>
    <field x="12"/>
  </colFields>
  <colItems count="6">
    <i>
      <x/>
      <x/>
    </i>
    <i r="1">
      <x v="1"/>
    </i>
    <i t="default">
      <x/>
    </i>
    <i>
      <x v="1"/>
      <x v="1"/>
    </i>
    <i t="default">
      <x v="1"/>
    </i>
    <i t="grand">
      <x/>
    </i>
  </colItems>
  <pageFields count="1">
    <pageField fld="11" item="0" hier="-1"/>
  </pageFields>
  <dataFields count="1">
    <dataField name="Count of Previous_modality_same" fld="9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235B4B-9A98-4B11-8A65-F0DEB0AE9AF4}" name="PivotTable10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3:H32" firstHeaderRow="1" firstDataRow="3" firstDataCol="1"/>
  <pivotFields count="13"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axis="axisRow" showAll="0">
      <items count="5">
        <item h="1" x="3"/>
        <item x="0"/>
        <item x="1"/>
        <item h="1" sd="0" x="2"/>
        <item t="default"/>
      </items>
    </pivotField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</pivotFields>
  <rowFields count="2">
    <field x="4"/>
    <field x="3"/>
  </rowFields>
  <rowItems count="7">
    <i>
      <x v="1"/>
    </i>
    <i r="1">
      <x v="1"/>
    </i>
    <i r="1">
      <x v="2"/>
    </i>
    <i>
      <x v="2"/>
    </i>
    <i r="1">
      <x v="1"/>
    </i>
    <i r="1">
      <x v="2"/>
    </i>
    <i t="grand">
      <x/>
    </i>
  </rowItems>
  <colFields count="2">
    <field x="9"/>
    <field x="11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Count of Previous_modality_same" fld="9" subtotal="count" baseField="4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36AF35-2736-42CD-9ED7-CADBD338B48E}" name="PivotTable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5:AI46" firstHeaderRow="1" firstDataRow="2" firstDataCol="1"/>
  <pivotFields count="13">
    <pivotField showAll="0"/>
    <pivotField showAll="0"/>
    <pivotField showAll="0"/>
    <pivotField axis="axisRow" showAll="0">
      <items count="4">
        <item h="1" x="2"/>
        <item x="0"/>
        <item x="1"/>
        <item t="default"/>
      </items>
    </pivotField>
    <pivotField axis="axisRow" showAll="0">
      <items count="5">
        <item h="1" x="3"/>
        <item x="0"/>
        <item x="1"/>
        <item x="2"/>
        <item t="default"/>
      </items>
    </pivotField>
    <pivotField showAll="0"/>
    <pivotField axis="axisCol" dataField="1" showAll="0">
      <items count="34">
        <item x="1"/>
        <item x="17"/>
        <item x="25"/>
        <item x="2"/>
        <item x="3"/>
        <item x="18"/>
        <item x="26"/>
        <item x="4"/>
        <item x="6"/>
        <item x="19"/>
        <item x="27"/>
        <item x="9"/>
        <item x="8"/>
        <item x="20"/>
        <item x="28"/>
        <item x="11"/>
        <item x="10"/>
        <item x="21"/>
        <item x="29"/>
        <item x="7"/>
        <item x="12"/>
        <item x="22"/>
        <item x="30"/>
        <item x="5"/>
        <item x="14"/>
        <item x="23"/>
        <item x="31"/>
        <item x="13"/>
        <item x="16"/>
        <item x="24"/>
        <item x="32"/>
        <item x="15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2">
    <field x="4"/>
    <field x="3"/>
  </rowFields>
  <rowItems count="10">
    <i>
      <x v="1"/>
    </i>
    <i r="1">
      <x v="1"/>
    </i>
    <i r="1">
      <x v="2"/>
    </i>
    <i>
      <x v="2"/>
    </i>
    <i r="1">
      <x v="1"/>
    </i>
    <i r="1">
      <x v="2"/>
    </i>
    <i>
      <x v="3"/>
    </i>
    <i r="1">
      <x v="1"/>
    </i>
    <i r="1">
      <x v="2"/>
    </i>
    <i t="grand">
      <x/>
    </i>
  </rowItems>
  <colFields count="1">
    <field x="6"/>
  </colFields>
  <col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colItems>
  <dataFields count="1">
    <dataField name="Count of stimulus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998668-D11C-4F71-B09D-59EFCB538C51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5" firstHeaderRow="1" firstDataRow="1" firstDataCol="1"/>
  <pivotFields count="13">
    <pivotField showAll="0"/>
    <pivotField showAll="0"/>
    <pivotField showAll="0"/>
    <pivotField axis="axisRow" dataField="1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modality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K1:P33" totalsRowShown="0" headerRowDxfId="82">
  <autoFilter ref="K1:P33" xr:uid="{00000000-0009-0000-0100-000002000000}"/>
  <tableColumns count="6">
    <tableColumn id="1" xr3:uid="{00000000-0010-0000-0000-000001000000}" name="Set"/>
    <tableColumn id="2" xr3:uid="{00000000-0010-0000-0000-000002000000}" name="Stimulus"/>
    <tableColumn id="3" xr3:uid="{00000000-0010-0000-0000-000003000000}" name="(1 1)"/>
    <tableColumn id="4" xr3:uid="{00000000-0010-0000-0000-000004000000}" name="(2 2)"/>
    <tableColumn id="5" xr3:uid="{00000000-0010-0000-0000-000005000000}" name="(1 2)"/>
    <tableColumn id="6" xr3:uid="{00000000-0010-0000-0000-000006000000}" name="(2 1)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e9" displayName="Table9" ref="A1:I65" totalsRowShown="0" dataDxfId="81">
  <autoFilter ref="A1:I65" xr:uid="{00000000-0009-0000-0100-000009000000}"/>
  <tableColumns count="9">
    <tableColumn id="1" xr3:uid="{00000000-0010-0000-0100-000001000000}" name="Set" dataDxfId="80"/>
    <tableColumn id="2" xr3:uid="{00000000-0010-0000-0100-000002000000}" name="Sequence" dataDxfId="79"/>
    <tableColumn id="3" xr3:uid="{00000000-0010-0000-0100-000003000000}" name="Modality" dataDxfId="78"/>
    <tableColumn id="4" xr3:uid="{00000000-0010-0000-0100-000004000000}" name="Target"/>
    <tableColumn id="5" xr3:uid="{00000000-0010-0000-0100-000005000000}" name="Rep_Sw"/>
    <tableColumn id="6" xr3:uid="{00000000-0010-0000-0100-000006000000}" name="order1" dataDxfId="77"/>
    <tableColumn id="7" xr3:uid="{00000000-0010-0000-0100-000007000000}" name="order2" dataDxfId="76"/>
    <tableColumn id="8" xr3:uid="{00000000-0010-0000-0100-000008000000}" name="order3" dataDxfId="75"/>
    <tableColumn id="9" xr3:uid="{00000000-0010-0000-0100-000009000000}" name="order4" dataDxfId="7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342B03D-9800-4155-9AB2-207F02603594}" name="Table10" displayName="Table10" ref="R5:Z13" totalsRowShown="0" dataDxfId="73">
  <autoFilter ref="R5:Z13" xr:uid="{0342B03D-9800-4155-9AB2-207F02603594}"/>
  <tableColumns count="9">
    <tableColumn id="1" xr3:uid="{DB4DEAC2-3090-40A6-8F4C-92211C3D84A8}" name="Stimulus" dataDxfId="72"/>
    <tableColumn id="2" xr3:uid="{EF2FF2D3-C010-4F29-AF8D-731E64A8F902}" name="Set1" dataDxfId="71"/>
    <tableColumn id="3" xr3:uid="{79C1E502-34EB-4E23-9572-39232AD68EDE}" name="Picture" dataDxfId="70"/>
    <tableColumn id="4" xr3:uid="{A23A4A74-066A-4E8B-B60B-A90654CC4DFA}" name="Set2" dataDxfId="69"/>
    <tableColumn id="5" xr3:uid="{418E56E4-D8A4-4E23-8F37-E2F993EF1BC1}" name="Picture2" dataDxfId="68"/>
    <tableColumn id="6" xr3:uid="{2D9A1D69-4EFB-4017-A040-C2A98A18BE34}" name="Set3" dataDxfId="67"/>
    <tableColumn id="7" xr3:uid="{D8184C92-4570-409F-94AD-EE34EA151BA1}" name="Picture3" dataDxfId="66"/>
    <tableColumn id="8" xr3:uid="{0701D4BF-39BB-4826-9563-AFBA2353E562}" name="Set4" dataDxfId="65"/>
    <tableColumn id="9" xr3:uid="{71DE23C9-5199-4910-8FA2-9EAF93B98B45}" name="Picture4" dataDxfId="64"/>
  </tableColumns>
  <tableStyleInfo name="TableStyleMedium2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1" displayName="Table1" ref="A1:F388" totalsRowShown="0" headerRowDxfId="63" dataDxfId="62">
  <autoFilter ref="A1:F388" xr:uid="{00000000-0009-0000-0100-000001000000}"/>
  <tableColumns count="6">
    <tableColumn id="6" xr3:uid="{00000000-0010-0000-0200-000006000000}" name="set" dataDxfId="61"/>
    <tableColumn id="1" xr3:uid="{00000000-0010-0000-0200-000001000000}" name="sequence" dataDxfId="60"/>
    <tableColumn id="5" xr3:uid="{00000000-0010-0000-0200-000005000000}" name="modality" dataDxfId="59"/>
    <tableColumn id="2" xr3:uid="{00000000-0010-0000-0200-000002000000}" name="target" dataDxfId="58"/>
    <tableColumn id="3" xr3:uid="{00000000-0010-0000-0200-000003000000}" name="repSwitch" dataDxfId="57"/>
    <tableColumn id="4" xr3:uid="{00000000-0010-0000-0200-000004000000}" name="stimulus" dataDxfId="56"/>
  </tableColumns>
  <tableStyleInfo name="TableStyleLight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3000000}" name="Table39" displayName="Table39" ref="A1:F260" totalsRowShown="0" headerRowDxfId="55" headerRowBorderDxfId="54" tableBorderDxfId="53">
  <autoFilter ref="A1:F260" xr:uid="{00000000-0009-0000-0100-000008000000}"/>
  <tableColumns count="6">
    <tableColumn id="1" xr3:uid="{00000000-0010-0000-0300-000001000000}" name="set" dataDxfId="52"/>
    <tableColumn id="2" xr3:uid="{00000000-0010-0000-0300-000002000000}" name="sequence"/>
    <tableColumn id="3" xr3:uid="{00000000-0010-0000-0300-000003000000}" name="modality"/>
    <tableColumn id="4" xr3:uid="{00000000-0010-0000-0300-000004000000}" name="target"/>
    <tableColumn id="5" xr3:uid="{00000000-0010-0000-0300-000005000000}" name="repSwitch" dataDxfId="51"/>
    <tableColumn id="6" xr3:uid="{00000000-0010-0000-0300-000006000000}" name="stimulus" dataDxfId="50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Table3" displayName="Table3" ref="A1:F388" totalsRowShown="0" headerRowDxfId="49" headerRowBorderDxfId="48" tableBorderDxfId="47">
  <autoFilter ref="A1:F388" xr:uid="{00000000-0009-0000-0100-000003000000}"/>
  <tableColumns count="6">
    <tableColumn id="1" xr3:uid="{00000000-0010-0000-0400-000001000000}" name="set" dataDxfId="46"/>
    <tableColumn id="2" xr3:uid="{00000000-0010-0000-0400-000002000000}" name="sequence"/>
    <tableColumn id="3" xr3:uid="{00000000-0010-0000-0400-000003000000}" name="modality"/>
    <tableColumn id="4" xr3:uid="{00000000-0010-0000-0400-000004000000}" name="target"/>
    <tableColumn id="5" xr3:uid="{00000000-0010-0000-0400-000005000000}" name="repSwitch" dataDxfId="45"/>
    <tableColumn id="6" xr3:uid="{00000000-0010-0000-0400-000006000000}" name="stimulus" dataDxfId="44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Table4" displayName="Table4" ref="A1:F388" totalsRowShown="0" headerRowDxfId="43" headerRowBorderDxfId="42" tableBorderDxfId="41">
  <autoFilter ref="A1:F388" xr:uid="{00000000-0009-0000-0100-000004000000}"/>
  <tableColumns count="6">
    <tableColumn id="1" xr3:uid="{00000000-0010-0000-0500-000001000000}" name="set" dataDxfId="40"/>
    <tableColumn id="2" xr3:uid="{00000000-0010-0000-0500-000002000000}" name="sequence"/>
    <tableColumn id="3" xr3:uid="{00000000-0010-0000-0500-000003000000}" name="modality"/>
    <tableColumn id="4" xr3:uid="{00000000-0010-0000-0500-000004000000}" name="target"/>
    <tableColumn id="5" xr3:uid="{00000000-0010-0000-0500-000005000000}" name="repSwitch" dataDxfId="39"/>
    <tableColumn id="6" xr3:uid="{00000000-0010-0000-0500-000006000000}" name="stimulus" dataDxfId="38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6000000}" name="Table5" displayName="Table5" ref="A1:F388" totalsRowShown="0" headerRowDxfId="37" dataDxfId="35" headerRowBorderDxfId="36" tableBorderDxfId="34">
  <autoFilter ref="A1:F388" xr:uid="{00000000-0009-0000-0100-000005000000}"/>
  <tableColumns count="6">
    <tableColumn id="1" xr3:uid="{00000000-0010-0000-0600-000001000000}" name="set" dataDxfId="33"/>
    <tableColumn id="2" xr3:uid="{00000000-0010-0000-0600-000002000000}" name="sequence" dataDxfId="32"/>
    <tableColumn id="3" xr3:uid="{00000000-0010-0000-0600-000003000000}" name="modality" dataDxfId="31"/>
    <tableColumn id="4" xr3:uid="{00000000-0010-0000-0600-000004000000}" name="target" dataDxfId="30"/>
    <tableColumn id="5" xr3:uid="{00000000-0010-0000-0600-000005000000}" name="repSwitch" dataDxfId="29"/>
    <tableColumn id="6" xr3:uid="{00000000-0010-0000-0600-000006000000}" name="stimulus" dataDxfId="28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7000000}" name="Table6" displayName="Table6" ref="A1:F388" totalsRowShown="0" headerRowDxfId="27" headerRowBorderDxfId="26" tableBorderDxfId="25">
  <autoFilter ref="A1:F388" xr:uid="{00000000-0009-0000-0100-000006000000}"/>
  <tableColumns count="6">
    <tableColumn id="1" xr3:uid="{00000000-0010-0000-0700-000001000000}" name="set" dataDxfId="24"/>
    <tableColumn id="2" xr3:uid="{00000000-0010-0000-0700-000002000000}" name="sequence"/>
    <tableColumn id="3" xr3:uid="{00000000-0010-0000-0700-000003000000}" name="modality"/>
    <tableColumn id="4" xr3:uid="{00000000-0010-0000-0700-000004000000}" name="target"/>
    <tableColumn id="5" xr3:uid="{00000000-0010-0000-0700-000005000000}" name="repSwitch" dataDxfId="23"/>
    <tableColumn id="6" xr3:uid="{00000000-0010-0000-0700-000006000000}" name="stimulus" dataDxfId="22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3D6C257-174C-4A82-ABA2-779C0EA5FD4F}" name="Table38" displayName="Table38" ref="A1:G394" totalsRowShown="0" headerRowDxfId="21" headerRowBorderDxfId="20" tableBorderDxfId="19">
  <autoFilter ref="A1:G394" xr:uid="{23D6C257-174C-4A82-ABA2-779C0EA5FD4F}"/>
  <tableColumns count="7">
    <tableColumn id="1" xr3:uid="{B01BA1CF-5811-4B7C-90CE-5D71D381F3BE}" name="set" dataDxfId="18"/>
    <tableColumn id="2" xr3:uid="{C37ECE79-97C7-409C-B2AE-53C6180B8462}" name="sequence" dataDxfId="17"/>
    <tableColumn id="3" xr3:uid="{75C3C6C2-919B-4EF1-AAB2-020882C302CF}" name="modality" dataDxfId="16"/>
    <tableColumn id="4" xr3:uid="{CE346D21-E43D-4E7D-A07F-997633A91B51}" name="target" dataDxfId="15"/>
    <tableColumn id="5" xr3:uid="{4E9319E5-B481-4C82-B2FC-A0185DE7BCE2}" name="repSwitch" dataDxfId="14"/>
    <tableColumn id="6" xr3:uid="{AF4A6853-5AC1-4845-BF15-2BBB85A8C289}" name="stimulus" dataDxfId="13"/>
    <tableColumn id="7" xr3:uid="{80A66996-87AA-4D87-9EC0-AF15741078B8}" name="Additions" dataDxfId="12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5EDECE6E-7609-4009-94CE-C77248EF1E61}" name="Table33" displayName="Table33" ref="A1:M9" totalsRowShown="0">
  <autoFilter ref="A1:M9" xr:uid="{5EDECE6E-7609-4009-94CE-C77248EF1E61}"/>
  <sortState xmlns:xlrd2="http://schemas.microsoft.com/office/spreadsheetml/2017/richdata2" ref="A2:M9">
    <sortCondition ref="G1:G9"/>
  </sortState>
  <tableColumns count="13">
    <tableColumn id="1" xr3:uid="{5D568427-4C6A-46FE-A887-394FA5534F87}" name="set"/>
    <tableColumn id="2" xr3:uid="{08DBD345-9386-4333-94BE-886BA8CB50B5}" name="trial"/>
    <tableColumn id="3" xr3:uid="{32B83F5A-BE0D-411D-918C-30B1E568739F}" name="sequence"/>
    <tableColumn id="4" xr3:uid="{26D5AD48-C7C2-4207-AA98-4C591C83D628}" name="modality"/>
    <tableColumn id="5" xr3:uid="{81E10FA4-034B-4564-9844-955AAE7D3F12}" name="target"/>
    <tableColumn id="6" xr3:uid="{EC1534EE-A8FA-43B8-A1FB-A505D02715D6}" name="repSwitch"/>
    <tableColumn id="7" xr3:uid="{15FC18EB-91E0-4EB8-909E-0A65F8661F88}" name="stimulus"/>
    <tableColumn id="8" xr3:uid="{BB0FF6F8-8E07-4D64-877E-4878CF5C02CC}" name="Additions"/>
    <tableColumn id="9" xr3:uid="{7AF19B4C-C846-489C-BC6C-BC2A3697A728}" name="baseline"/>
    <tableColumn id="10" xr3:uid="{8EBC351F-01E8-48CF-95F7-ADB86D5601CA}" name="Previous_modality_same"/>
    <tableColumn id="11" xr3:uid="{A9CAEC48-9546-461A-8B50-CB168D6A9303}" name="Next_item_same_item"/>
    <tableColumn id="12" xr3:uid="{E7AD270D-DF2E-4D13-B855-503382F5C555}" name="Previous_is_target"/>
    <tableColumn id="13" xr3:uid="{B6122E5E-C451-49C1-B9A0-3AD9517D58DE}" name="Previous_is_filler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8FC7F737-CE0C-440A-B406-4251B43FD746}" name="Table35" displayName="Table35" ref="A1:M10" totalsRowShown="0">
  <autoFilter ref="A1:M10" xr:uid="{8FC7F737-CE0C-440A-B406-4251B43FD746}"/>
  <sortState xmlns:xlrd2="http://schemas.microsoft.com/office/spreadsheetml/2017/richdata2" ref="A2:M10">
    <sortCondition ref="G1:G10"/>
  </sortState>
  <tableColumns count="13">
    <tableColumn id="1" xr3:uid="{56A77DF8-AD47-49D7-BE19-B5A1777D47E1}" name="set"/>
    <tableColumn id="2" xr3:uid="{563F87E7-9B7B-46EB-B074-9B9A0A59325C}" name="trial"/>
    <tableColumn id="3" xr3:uid="{D7131878-863D-4E5A-B40C-AA68F6B7EF57}" name="sequence"/>
    <tableColumn id="4" xr3:uid="{BB0ACFF8-1236-4AE5-AC75-87B6AF896E15}" name="modality"/>
    <tableColumn id="5" xr3:uid="{CCC8122F-6701-4C0B-A8D3-7C54CB7385DB}" name="target"/>
    <tableColumn id="6" xr3:uid="{A7939ECA-C032-49E7-9A74-B830F2389844}" name="repSwitch"/>
    <tableColumn id="7" xr3:uid="{40925DD6-9AFA-48FF-83EF-B78C083EA6F6}" name="stimulus"/>
    <tableColumn id="8" xr3:uid="{525529DC-8AEE-477F-B8AA-80DF2695AF92}" name="Additions"/>
    <tableColumn id="9" xr3:uid="{CEA16415-B575-4C60-8C70-2786F0296326}" name="baseline"/>
    <tableColumn id="10" xr3:uid="{A78F9448-A03E-4884-830E-2E91A4E69CF7}" name="Previous_modality_same"/>
    <tableColumn id="11" xr3:uid="{D2BFE29C-EB82-41FB-8705-DD80B0371D19}" name="Next_item_same_item"/>
    <tableColumn id="12" xr3:uid="{6931021D-28F2-4C7F-9C2C-FD0AA6A840D3}" name="Previous_is_target"/>
    <tableColumn id="13" xr3:uid="{6D7ECC86-2B66-49E4-A073-CC7D34895292}" name="Previous_is_filler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9D6B174-CE25-4E1A-A83C-0A5059D54D6F}" name="Table40" displayName="Table40" ref="A1:M19" totalsRowShown="0">
  <autoFilter ref="A1:M19" xr:uid="{09D6B174-CE25-4E1A-A83C-0A5059D54D6F}"/>
  <sortState xmlns:xlrd2="http://schemas.microsoft.com/office/spreadsheetml/2017/richdata2" ref="A2:M19">
    <sortCondition ref="B1:B19"/>
  </sortState>
  <tableColumns count="13">
    <tableColumn id="1" xr3:uid="{D4648EA3-6C79-42D2-9FB8-EABE90EB66CA}" name="set"/>
    <tableColumn id="2" xr3:uid="{6C88ED7B-22EC-4277-96FC-E200A97C8BB3}" name="trial"/>
    <tableColumn id="3" xr3:uid="{81A03B89-E73D-4498-965C-7948E7659751}" name="sequence"/>
    <tableColumn id="4" xr3:uid="{D943C903-06C2-483A-8F68-EC032856D3A9}" name="modality"/>
    <tableColumn id="5" xr3:uid="{EF92F47B-A935-459D-A730-922569865586}" name="target"/>
    <tableColumn id="6" xr3:uid="{79249D60-C3C2-43CE-84AE-19BD8BA96ED2}" name="repSwitch"/>
    <tableColumn id="7" xr3:uid="{87530CF9-9EDA-4E3E-B3AE-7640430FCA92}" name="stimulus"/>
    <tableColumn id="8" xr3:uid="{3EA534ED-E023-4852-B610-86BB252CD4EE}" name="Additions"/>
    <tableColumn id="9" xr3:uid="{DE3F839E-65E3-49FB-BBB2-D725F9B01E6F}" name="baseline"/>
    <tableColumn id="10" xr3:uid="{23278895-0EB5-4938-8599-F58ED4396DED}" name="Previous_modality_same"/>
    <tableColumn id="11" xr3:uid="{823F08D0-BCF8-4A11-B4F5-EB05980330A4}" name="Next_item_same_item"/>
    <tableColumn id="12" xr3:uid="{45639705-A72B-4CCD-9BC9-E217AEA4F5FC}" name="Previous_is_target"/>
    <tableColumn id="13" xr3:uid="{A089DADC-81E6-4F08-89E3-10C0F8F940A9}" name="Previous_is_filler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66E60AD1-2017-4BDC-B566-5C91030BB02B}" name="Table37" displayName="Table37" ref="A1:M23" totalsRowShown="0">
  <autoFilter ref="A1:M23" xr:uid="{66E60AD1-2017-4BDC-B566-5C91030BB02B}"/>
  <sortState xmlns:xlrd2="http://schemas.microsoft.com/office/spreadsheetml/2017/richdata2" ref="A2:M23">
    <sortCondition ref="G1:G23"/>
  </sortState>
  <tableColumns count="13">
    <tableColumn id="1" xr3:uid="{D3D61895-777E-48D0-93D6-0DA1D676D1FB}" name="set"/>
    <tableColumn id="2" xr3:uid="{972E5272-64AC-4255-8CA3-F81A6A0E7F00}" name="trial"/>
    <tableColumn id="3" xr3:uid="{793809DB-D8D8-455C-81B3-62F301A6550D}" name="sequence"/>
    <tableColumn id="4" xr3:uid="{8ADE3546-ED90-4DBF-9B4D-CF6F6D1145BB}" name="modality"/>
    <tableColumn id="5" xr3:uid="{E5B849AD-74D5-4365-9F9C-5B1C2092C2FE}" name="target"/>
    <tableColumn id="6" xr3:uid="{3C325CF7-FD22-4756-8CF8-685890998537}" name="repSwitch"/>
    <tableColumn id="7" xr3:uid="{346BE4BC-8888-4701-B693-65BE09CF69DE}" name="stimulus"/>
    <tableColumn id="8" xr3:uid="{4A03F7E1-5141-43A6-8E18-E12181851CFE}" name="Additions"/>
    <tableColumn id="9" xr3:uid="{4CD16902-CBEA-4B9D-8CEF-82261AC616A3}" name="baseline"/>
    <tableColumn id="10" xr3:uid="{89A3B849-7D6E-445D-84B8-E18980FC0117}" name="Previous_modality_same"/>
    <tableColumn id="11" xr3:uid="{F725F517-4886-442D-87BF-D42C62F0FD3D}" name="Next_item_same_item"/>
    <tableColumn id="12" xr3:uid="{B6240CF9-DFAC-4E2F-801F-29775DCF24C9}" name="Previous_is_target"/>
    <tableColumn id="13" xr3:uid="{8E14D5A6-488F-4AD9-BAD9-E62EFC8E9C4E}" name="Previous_is_filler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3F5EB20-179F-48B8-AC43-D509670D3C57}" name="Table42" displayName="Table42" ref="A1:M26" totalsRowShown="0">
  <autoFilter ref="A1:M26" xr:uid="{43F5EB20-179F-48B8-AC43-D509670D3C57}"/>
  <sortState xmlns:xlrd2="http://schemas.microsoft.com/office/spreadsheetml/2017/richdata2" ref="A2:M26">
    <sortCondition ref="G1:G26"/>
  </sortState>
  <tableColumns count="13">
    <tableColumn id="1" xr3:uid="{1CE302EE-3CD7-4EFC-A43C-BB7C7AD3661A}" name="set"/>
    <tableColumn id="2" xr3:uid="{C0FCB937-FC58-446F-9DA7-B6E33BB985B9}" name="trial"/>
    <tableColumn id="3" xr3:uid="{8CAC603B-DA27-4A5C-991E-F73B8F900C44}" name="sequence"/>
    <tableColumn id="4" xr3:uid="{54EBF158-B91B-497D-8E24-C1F2A0FC36A6}" name="modality"/>
    <tableColumn id="5" xr3:uid="{AC0637D1-028B-4B82-93B5-2211EAE24BB1}" name="target"/>
    <tableColumn id="6" xr3:uid="{D1229871-23C4-495E-912E-DD375D23C250}" name="repSwitch"/>
    <tableColumn id="7" xr3:uid="{C6262757-C088-417A-AA75-230C35380341}" name="stimulus"/>
    <tableColumn id="8" xr3:uid="{688FCD1E-F03E-430E-8B94-126F92AD0020}" name="Additions"/>
    <tableColumn id="9" xr3:uid="{5CC159E5-6074-4F89-ADED-D7076749078A}" name="baseline"/>
    <tableColumn id="10" xr3:uid="{D89D85F2-5156-4C07-84BD-0370CDF500A9}" name="Previous_modality_same"/>
    <tableColumn id="11" xr3:uid="{83401D3D-65CC-42B5-8BF4-27E291C93C39}" name="Next_item_same_item"/>
    <tableColumn id="12" xr3:uid="{2AB90742-176B-4C0F-B1D7-BC75834AA2D8}" name="Previous_is_target"/>
    <tableColumn id="13" xr3:uid="{A99F6CD1-81B2-4EC7-9139-59F2A2803308}" name="Previous_is_filler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2552FFF-BDC0-4E2B-A417-A168567DDF3D}" name="Table1214" displayName="Table1214" ref="A1:M426" totalsRowShown="0" dataDxfId="11" tableBorderDxfId="10">
  <autoFilter ref="A1:M426" xr:uid="{D2552FFF-BDC0-4E2B-A417-A168567DDF3D}"/>
  <tableColumns count="13">
    <tableColumn id="1" xr3:uid="{F7D7950F-B836-4F76-8498-13902C716179}" name="set" dataDxfId="9"/>
    <tableColumn id="2" xr3:uid="{CE14AF19-6C14-427F-90ED-47B2C5D81D54}" name="trial" dataDxfId="8"/>
    <tableColumn id="3" xr3:uid="{4DF0C9A4-F7D8-45CC-A955-11CEB6BD2D75}" name="sequence"/>
    <tableColumn id="4" xr3:uid="{C0DF72F4-DB15-4892-9DD3-01CFBC5D73F7}" name="modality"/>
    <tableColumn id="5" xr3:uid="{13DFA0FD-B367-45A2-8268-FF88F02F858D}" name="target"/>
    <tableColumn id="6" xr3:uid="{AA44344C-F33A-497C-81FD-D344BE763B6E}" name="repSwitch" dataDxfId="7"/>
    <tableColumn id="7" xr3:uid="{A5A983B3-1228-4C07-AB0D-CC075E393E87}" name="stimulus" dataDxfId="6"/>
    <tableColumn id="8" xr3:uid="{911A8212-5B88-4449-9140-3FBAC4A8EFAE}" name="Additions" dataDxfId="5"/>
    <tableColumn id="9" xr3:uid="{DE315630-84DC-446D-A37F-339904FDB5DE}" name="baseline" dataDxfId="4"/>
    <tableColumn id="10" xr3:uid="{E2DA50CD-35F5-4708-A878-4725A3FADCED}" name="Previous_modality_same" dataDxfId="3">
      <calculatedColumnFormula>IF(Table1214[[#This Row],[modality]]=D1,1,0)</calculatedColumnFormula>
    </tableColumn>
    <tableColumn id="11" xr3:uid="{0A43332C-8ACB-4A60-B951-83AB20C513D2}" name="Next_item_same_item" dataDxfId="2">
      <calculatedColumnFormula>IF(Table1214[[#This Row],[stimulus]]=G3, 1, 0)</calculatedColumnFormula>
    </tableColumn>
    <tableColumn id="12" xr3:uid="{F2157C8B-4EF3-46AD-B939-7FF3AB891663}" name="Previous_is_target" dataDxfId="1">
      <calculatedColumnFormula>IF(E1="T",1,0)</calculatedColumnFormula>
    </tableColumn>
    <tableColumn id="13" xr3:uid="{418BD6B8-D8BC-4C0F-A670-C61CB801DACE}" name="Previous_is_filler" dataDxfId="0">
      <calculatedColumnFormula>IF(E1="F",1,0)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65"/>
  <sheetViews>
    <sheetView topLeftCell="Q1" zoomScale="83" zoomScaleNormal="100" workbookViewId="0">
      <selection activeCell="S19" sqref="S19"/>
    </sheetView>
  </sheetViews>
  <sheetFormatPr defaultRowHeight="14.4" x14ac:dyDescent="0.3"/>
  <cols>
    <col min="1" max="1" width="8.88671875" style="5"/>
    <col min="2" max="2" width="11.44140625" customWidth="1"/>
    <col min="3" max="3" width="10.6640625" customWidth="1"/>
    <col min="5" max="5" width="10" customWidth="1"/>
    <col min="12" max="12" width="16" bestFit="1" customWidth="1"/>
    <col min="13" max="16" width="8.33203125" bestFit="1" customWidth="1"/>
    <col min="17" max="17" width="21.5546875" customWidth="1"/>
    <col min="18" max="18" width="10.33203125" customWidth="1"/>
    <col min="22" max="22" width="9.77734375" customWidth="1"/>
    <col min="24" max="24" width="9.77734375" customWidth="1"/>
    <col min="26" max="26" width="9.77734375" customWidth="1"/>
    <col min="28" max="28" width="9" bestFit="1" customWidth="1"/>
  </cols>
  <sheetData>
    <row r="1" spans="1:32" x14ac:dyDescent="0.3">
      <c r="A1" s="5" t="s">
        <v>20</v>
      </c>
      <c r="B1" s="5" t="s">
        <v>101</v>
      </c>
      <c r="C1" s="5" t="s">
        <v>23</v>
      </c>
      <c r="D1" t="s">
        <v>22</v>
      </c>
      <c r="E1" t="s">
        <v>24</v>
      </c>
      <c r="F1" t="s">
        <v>95</v>
      </c>
      <c r="G1" t="s">
        <v>96</v>
      </c>
      <c r="H1" t="s">
        <v>97</v>
      </c>
      <c r="I1" t="s">
        <v>98</v>
      </c>
      <c r="K1" s="3" t="s">
        <v>20</v>
      </c>
      <c r="L1" s="3" t="s">
        <v>28</v>
      </c>
      <c r="M1" s="3" t="s">
        <v>86</v>
      </c>
      <c r="N1" s="3" t="s">
        <v>87</v>
      </c>
      <c r="O1" s="3" t="s">
        <v>88</v>
      </c>
      <c r="P1" s="3" t="s">
        <v>89</v>
      </c>
      <c r="Q1" s="3"/>
    </row>
    <row r="2" spans="1:32" x14ac:dyDescent="0.3">
      <c r="A2" s="6">
        <v>1</v>
      </c>
      <c r="B2" s="2">
        <v>2</v>
      </c>
      <c r="C2" s="2" t="str">
        <f>IF(B2, "speak", "type")</f>
        <v>speak</v>
      </c>
      <c r="D2" t="s">
        <v>0</v>
      </c>
      <c r="F2" s="2" t="s">
        <v>1</v>
      </c>
      <c r="G2" s="2" t="s">
        <v>4</v>
      </c>
      <c r="H2" s="2" t="s">
        <v>7</v>
      </c>
      <c r="I2" s="2" t="s">
        <v>5</v>
      </c>
      <c r="J2" s="2"/>
      <c r="K2">
        <v>1</v>
      </c>
      <c r="L2">
        <v>1</v>
      </c>
      <c r="M2" s="16"/>
      <c r="N2" s="14"/>
      <c r="O2" s="16"/>
      <c r="P2" s="16"/>
    </row>
    <row r="3" spans="1:32" x14ac:dyDescent="0.3">
      <c r="A3" s="6">
        <v>1</v>
      </c>
      <c r="B3" s="2">
        <v>2</v>
      </c>
      <c r="C3" s="2" t="str">
        <f t="shared" ref="C3:C17" si="0">IF(B3, "speak", "type")</f>
        <v>speak</v>
      </c>
      <c r="D3" t="s">
        <v>40</v>
      </c>
      <c r="E3" t="s">
        <v>9</v>
      </c>
      <c r="F3" s="32" t="s">
        <v>1</v>
      </c>
      <c r="G3" s="2" t="s">
        <v>4</v>
      </c>
      <c r="H3" s="2" t="s">
        <v>7</v>
      </c>
      <c r="I3" s="2" t="s">
        <v>5</v>
      </c>
      <c r="J3" s="2"/>
      <c r="K3">
        <v>1</v>
      </c>
      <c r="L3">
        <v>2</v>
      </c>
      <c r="M3" s="16"/>
      <c r="N3" s="14"/>
      <c r="O3" s="16"/>
      <c r="P3" s="16"/>
      <c r="R3" t="s">
        <v>21</v>
      </c>
      <c r="AB3" t="s">
        <v>26</v>
      </c>
    </row>
    <row r="4" spans="1:32" x14ac:dyDescent="0.3">
      <c r="A4" s="6">
        <v>1</v>
      </c>
      <c r="B4" s="2">
        <v>2</v>
      </c>
      <c r="C4" s="2" t="str">
        <f t="shared" si="0"/>
        <v>speak</v>
      </c>
      <c r="D4" t="s">
        <v>0</v>
      </c>
      <c r="F4" s="2" t="s">
        <v>2</v>
      </c>
      <c r="G4" s="2" t="s">
        <v>3</v>
      </c>
      <c r="H4" s="2" t="s">
        <v>6</v>
      </c>
      <c r="I4" s="2" t="s">
        <v>8</v>
      </c>
      <c r="J4" s="2"/>
      <c r="K4">
        <v>1</v>
      </c>
      <c r="L4">
        <v>3</v>
      </c>
      <c r="M4" s="16"/>
      <c r="N4" s="14"/>
      <c r="O4" s="16"/>
      <c r="P4" s="16"/>
      <c r="AB4" t="s">
        <v>84</v>
      </c>
    </row>
    <row r="5" spans="1:32" x14ac:dyDescent="0.3">
      <c r="A5" s="6">
        <v>1</v>
      </c>
      <c r="B5" s="2">
        <v>2</v>
      </c>
      <c r="C5" s="2" t="str">
        <f t="shared" si="0"/>
        <v>speak</v>
      </c>
      <c r="D5" t="s">
        <v>40</v>
      </c>
      <c r="E5" t="s">
        <v>9</v>
      </c>
      <c r="F5" s="2" t="s">
        <v>2</v>
      </c>
      <c r="G5" s="2" t="s">
        <v>3</v>
      </c>
      <c r="H5" s="2" t="s">
        <v>6</v>
      </c>
      <c r="I5" s="2" t="s">
        <v>8</v>
      </c>
      <c r="J5" s="2"/>
      <c r="K5">
        <v>1</v>
      </c>
      <c r="L5">
        <v>4</v>
      </c>
      <c r="M5" s="16"/>
      <c r="N5" s="16"/>
      <c r="O5" s="16"/>
      <c r="P5" s="16"/>
      <c r="R5" t="s">
        <v>28</v>
      </c>
      <c r="S5" s="1" t="s">
        <v>14</v>
      </c>
      <c r="T5" t="s">
        <v>120</v>
      </c>
      <c r="U5" s="1" t="s">
        <v>15</v>
      </c>
      <c r="V5" t="s">
        <v>129</v>
      </c>
      <c r="W5" s="1" t="s">
        <v>16</v>
      </c>
      <c r="X5" t="s">
        <v>130</v>
      </c>
      <c r="Y5" s="1" t="s">
        <v>17</v>
      </c>
      <c r="Z5" t="s">
        <v>131</v>
      </c>
      <c r="AB5" t="s">
        <v>27</v>
      </c>
    </row>
    <row r="6" spans="1:32" x14ac:dyDescent="0.3">
      <c r="A6" s="6">
        <v>1</v>
      </c>
      <c r="B6" s="2">
        <v>2</v>
      </c>
      <c r="C6" s="2" t="str">
        <f t="shared" si="0"/>
        <v>speak</v>
      </c>
      <c r="D6" t="s">
        <v>0</v>
      </c>
      <c r="F6" s="2" t="s">
        <v>3</v>
      </c>
      <c r="G6" s="2" t="s">
        <v>6</v>
      </c>
      <c r="H6" s="2" t="s">
        <v>8</v>
      </c>
      <c r="I6" s="2" t="s">
        <v>7</v>
      </c>
      <c r="J6" s="2"/>
      <c r="K6">
        <v>1</v>
      </c>
      <c r="L6">
        <v>5</v>
      </c>
      <c r="M6" s="16"/>
      <c r="N6" s="16"/>
      <c r="O6" s="16"/>
      <c r="P6" s="16"/>
      <c r="R6" s="4" t="s">
        <v>1</v>
      </c>
      <c r="S6" s="4" t="s">
        <v>105</v>
      </c>
      <c r="T6" s="51">
        <v>178</v>
      </c>
      <c r="U6" s="4" t="s">
        <v>104</v>
      </c>
      <c r="V6" s="43">
        <v>175</v>
      </c>
      <c r="W6" s="4" t="s">
        <v>115</v>
      </c>
      <c r="X6" s="43">
        <v>576</v>
      </c>
      <c r="Y6" s="4" t="s">
        <v>109</v>
      </c>
      <c r="Z6" s="4">
        <v>319</v>
      </c>
      <c r="AB6" t="s">
        <v>85</v>
      </c>
    </row>
    <row r="7" spans="1:32" x14ac:dyDescent="0.3">
      <c r="A7" s="6">
        <v>1</v>
      </c>
      <c r="B7" s="2">
        <v>1</v>
      </c>
      <c r="C7" s="2" t="s">
        <v>81</v>
      </c>
      <c r="D7" t="s">
        <v>40</v>
      </c>
      <c r="E7" t="s">
        <v>10</v>
      </c>
      <c r="F7" s="2" t="s">
        <v>3</v>
      </c>
      <c r="G7" s="2" t="s">
        <v>6</v>
      </c>
      <c r="H7" s="2" t="s">
        <v>8</v>
      </c>
      <c r="I7" s="2" t="s">
        <v>7</v>
      </c>
      <c r="J7" s="2"/>
      <c r="K7">
        <v>1</v>
      </c>
      <c r="L7">
        <v>6</v>
      </c>
      <c r="M7" s="16"/>
      <c r="N7" s="16"/>
      <c r="O7" s="16"/>
      <c r="P7" s="16"/>
      <c r="R7" s="7" t="s">
        <v>2</v>
      </c>
      <c r="S7" s="7" t="s">
        <v>111</v>
      </c>
      <c r="T7" s="52">
        <v>381</v>
      </c>
      <c r="U7" s="7" t="s">
        <v>103</v>
      </c>
      <c r="V7" s="37">
        <v>152</v>
      </c>
      <c r="W7" s="7" t="s">
        <v>38</v>
      </c>
      <c r="X7" s="37">
        <v>610</v>
      </c>
      <c r="Y7" s="7" t="s">
        <v>117</v>
      </c>
      <c r="Z7" s="7">
        <v>719</v>
      </c>
    </row>
    <row r="8" spans="1:32" x14ac:dyDescent="0.3">
      <c r="A8" s="6">
        <v>1</v>
      </c>
      <c r="B8" s="2">
        <v>1</v>
      </c>
      <c r="C8" s="2" t="s">
        <v>81</v>
      </c>
      <c r="D8" t="s">
        <v>0</v>
      </c>
      <c r="F8" s="2" t="s">
        <v>4</v>
      </c>
      <c r="G8" s="2" t="s">
        <v>2</v>
      </c>
      <c r="H8" s="2" t="s">
        <v>1</v>
      </c>
      <c r="I8" s="2" t="s">
        <v>3</v>
      </c>
      <c r="J8" s="2"/>
      <c r="K8">
        <v>1</v>
      </c>
      <c r="L8">
        <v>7</v>
      </c>
      <c r="M8" s="16"/>
      <c r="N8" s="16"/>
      <c r="O8" s="16"/>
      <c r="P8" s="16"/>
      <c r="R8" s="4" t="s">
        <v>3</v>
      </c>
      <c r="S8" s="4" t="s">
        <v>123</v>
      </c>
      <c r="T8" s="51">
        <v>135</v>
      </c>
      <c r="U8" s="4" t="s">
        <v>36</v>
      </c>
      <c r="V8" s="43">
        <v>264</v>
      </c>
      <c r="W8" s="4" t="s">
        <v>35</v>
      </c>
      <c r="X8" s="43">
        <v>242</v>
      </c>
      <c r="Y8" s="4" t="s">
        <v>118</v>
      </c>
      <c r="Z8" s="4">
        <v>8</v>
      </c>
      <c r="AF8" t="s">
        <v>18</v>
      </c>
    </row>
    <row r="9" spans="1:32" x14ac:dyDescent="0.3">
      <c r="A9" s="6">
        <v>1</v>
      </c>
      <c r="B9" s="2">
        <v>2</v>
      </c>
      <c r="C9" s="2" t="str">
        <f t="shared" si="0"/>
        <v>speak</v>
      </c>
      <c r="D9" t="s">
        <v>40</v>
      </c>
      <c r="E9" t="s">
        <v>10</v>
      </c>
      <c r="F9" s="2" t="s">
        <v>4</v>
      </c>
      <c r="G9" s="2" t="s">
        <v>2</v>
      </c>
      <c r="H9" s="32" t="s">
        <v>1</v>
      </c>
      <c r="I9" s="2" t="s">
        <v>3</v>
      </c>
      <c r="J9" s="2"/>
      <c r="K9">
        <v>1</v>
      </c>
      <c r="L9">
        <v>8</v>
      </c>
      <c r="M9" s="16"/>
      <c r="N9" s="16"/>
      <c r="O9" s="16"/>
      <c r="P9" s="16"/>
      <c r="R9" s="7" t="s">
        <v>4</v>
      </c>
      <c r="S9" s="7" t="s">
        <v>32</v>
      </c>
      <c r="T9" s="52">
        <v>128</v>
      </c>
      <c r="U9" s="7" t="s">
        <v>113</v>
      </c>
      <c r="V9" s="37">
        <v>517</v>
      </c>
      <c r="W9" s="7" t="s">
        <v>107</v>
      </c>
      <c r="X9" s="37">
        <v>235</v>
      </c>
      <c r="Y9" s="7" t="s">
        <v>135</v>
      </c>
      <c r="Z9" s="7">
        <v>498</v>
      </c>
      <c r="AB9" t="s">
        <v>11</v>
      </c>
      <c r="AF9">
        <f>8*4*4</f>
        <v>128</v>
      </c>
    </row>
    <row r="10" spans="1:32" x14ac:dyDescent="0.3">
      <c r="A10" s="6">
        <v>1</v>
      </c>
      <c r="B10" s="2">
        <v>2</v>
      </c>
      <c r="C10" s="2" t="str">
        <f t="shared" si="0"/>
        <v>speak</v>
      </c>
      <c r="D10" t="s">
        <v>0</v>
      </c>
      <c r="F10" s="2" t="s">
        <v>5</v>
      </c>
      <c r="G10" s="2" t="s">
        <v>1</v>
      </c>
      <c r="H10" s="2" t="s">
        <v>4</v>
      </c>
      <c r="I10" s="2" t="s">
        <v>2</v>
      </c>
      <c r="J10" s="2"/>
      <c r="K10">
        <v>2</v>
      </c>
      <c r="L10">
        <v>1</v>
      </c>
      <c r="M10" s="17"/>
      <c r="N10" s="17"/>
      <c r="O10" s="17"/>
      <c r="P10" s="17"/>
      <c r="R10" s="4" t="s">
        <v>5</v>
      </c>
      <c r="S10" s="4" t="s">
        <v>106</v>
      </c>
      <c r="T10" s="51">
        <v>19</v>
      </c>
      <c r="U10" s="4" t="s">
        <v>108</v>
      </c>
      <c r="V10" s="43">
        <v>30</v>
      </c>
      <c r="W10" s="4" t="s">
        <v>121</v>
      </c>
      <c r="X10" s="43">
        <v>35</v>
      </c>
      <c r="Y10" s="4" t="s">
        <v>39</v>
      </c>
      <c r="Z10" s="4">
        <v>687</v>
      </c>
      <c r="AB10">
        <v>32</v>
      </c>
      <c r="AC10">
        <f>32/4</f>
        <v>8</v>
      </c>
      <c r="AD10" t="s">
        <v>12</v>
      </c>
    </row>
    <row r="11" spans="1:32" x14ac:dyDescent="0.3">
      <c r="A11" s="6">
        <v>1</v>
      </c>
      <c r="B11" s="2">
        <v>1</v>
      </c>
      <c r="C11" s="2" t="s">
        <v>81</v>
      </c>
      <c r="D11" t="s">
        <v>40</v>
      </c>
      <c r="E11" t="s">
        <v>10</v>
      </c>
      <c r="F11" s="2" t="s">
        <v>5</v>
      </c>
      <c r="G11" s="32" t="s">
        <v>1</v>
      </c>
      <c r="H11" s="2" t="s">
        <v>4</v>
      </c>
      <c r="I11" s="2" t="s">
        <v>2</v>
      </c>
      <c r="J11" s="2"/>
      <c r="K11">
        <v>2</v>
      </c>
      <c r="L11">
        <v>2</v>
      </c>
      <c r="M11" s="17"/>
      <c r="N11" s="17"/>
      <c r="O11" s="17"/>
      <c r="P11" s="17"/>
      <c r="R11" s="7" t="s">
        <v>6</v>
      </c>
      <c r="S11" s="7" t="s">
        <v>33</v>
      </c>
      <c r="T11" s="52">
        <v>16</v>
      </c>
      <c r="U11" s="7" t="s">
        <v>114</v>
      </c>
      <c r="V11" s="37">
        <v>552</v>
      </c>
      <c r="W11" s="7" t="s">
        <v>124</v>
      </c>
      <c r="X11" s="37">
        <v>464</v>
      </c>
      <c r="Y11" s="7" t="s">
        <v>134</v>
      </c>
      <c r="Z11" s="7">
        <v>338</v>
      </c>
      <c r="AB11">
        <f>64*4</f>
        <v>256</v>
      </c>
      <c r="AC11" s="1">
        <v>32</v>
      </c>
      <c r="AD11" s="1" t="s">
        <v>12</v>
      </c>
    </row>
    <row r="12" spans="1:32" x14ac:dyDescent="0.3">
      <c r="A12" s="6">
        <v>1</v>
      </c>
      <c r="B12" s="2">
        <v>1</v>
      </c>
      <c r="C12" s="2" t="s">
        <v>81</v>
      </c>
      <c r="D12" t="s">
        <v>0</v>
      </c>
      <c r="F12" s="2" t="s">
        <v>6</v>
      </c>
      <c r="G12" s="2" t="s">
        <v>8</v>
      </c>
      <c r="H12" s="2" t="s">
        <v>2</v>
      </c>
      <c r="I12" s="2" t="s">
        <v>4</v>
      </c>
      <c r="J12" s="2"/>
      <c r="K12">
        <v>2</v>
      </c>
      <c r="L12">
        <v>3</v>
      </c>
      <c r="M12" s="17"/>
      <c r="N12" s="17"/>
      <c r="O12" s="17"/>
      <c r="P12" s="17"/>
      <c r="R12" s="4" t="s">
        <v>7</v>
      </c>
      <c r="S12" s="4" t="s">
        <v>102</v>
      </c>
      <c r="T12" s="51">
        <v>142</v>
      </c>
      <c r="U12" s="4" t="s">
        <v>133</v>
      </c>
      <c r="V12" s="43">
        <v>446</v>
      </c>
      <c r="W12" s="4" t="s">
        <v>37</v>
      </c>
      <c r="X12" s="43">
        <v>271</v>
      </c>
      <c r="Y12" s="4" t="s">
        <v>112</v>
      </c>
      <c r="Z12" s="4">
        <v>48</v>
      </c>
      <c r="AB12" t="s">
        <v>13</v>
      </c>
    </row>
    <row r="13" spans="1:32" x14ac:dyDescent="0.3">
      <c r="A13" s="6">
        <v>1</v>
      </c>
      <c r="B13" s="2">
        <v>1</v>
      </c>
      <c r="C13" s="2" t="s">
        <v>81</v>
      </c>
      <c r="D13" t="s">
        <v>40</v>
      </c>
      <c r="E13" t="s">
        <v>9</v>
      </c>
      <c r="F13" s="2" t="s">
        <v>6</v>
      </c>
      <c r="G13" s="2" t="s">
        <v>8</v>
      </c>
      <c r="H13" s="2" t="s">
        <v>2</v>
      </c>
      <c r="I13" s="2" t="s">
        <v>4</v>
      </c>
      <c r="J13" s="2"/>
      <c r="K13">
        <v>2</v>
      </c>
      <c r="L13">
        <v>4</v>
      </c>
      <c r="M13" s="18"/>
      <c r="N13" s="18"/>
      <c r="O13" s="18"/>
      <c r="P13" s="18"/>
      <c r="R13" s="7" t="s">
        <v>8</v>
      </c>
      <c r="S13" s="7" t="s">
        <v>132</v>
      </c>
      <c r="T13" s="52">
        <v>169</v>
      </c>
      <c r="U13" s="7" t="s">
        <v>34</v>
      </c>
      <c r="V13" s="37">
        <v>199</v>
      </c>
      <c r="W13" s="7" t="s">
        <v>110</v>
      </c>
      <c r="X13" s="37">
        <v>320</v>
      </c>
      <c r="Y13" s="7" t="s">
        <v>122</v>
      </c>
      <c r="Z13" s="7">
        <v>728</v>
      </c>
    </row>
    <row r="14" spans="1:32" x14ac:dyDescent="0.3">
      <c r="A14" s="6">
        <v>1</v>
      </c>
      <c r="B14" s="2">
        <v>1</v>
      </c>
      <c r="C14" s="2" t="s">
        <v>81</v>
      </c>
      <c r="D14" t="s">
        <v>0</v>
      </c>
      <c r="F14" s="2" t="s">
        <v>7</v>
      </c>
      <c r="G14" s="2" t="s">
        <v>5</v>
      </c>
      <c r="H14" s="2" t="s">
        <v>3</v>
      </c>
      <c r="I14" s="2" t="s">
        <v>1</v>
      </c>
      <c r="J14" s="2"/>
      <c r="K14">
        <v>2</v>
      </c>
      <c r="L14">
        <v>5</v>
      </c>
      <c r="M14" s="18"/>
      <c r="N14" s="18"/>
      <c r="O14" s="18"/>
      <c r="P14" s="18"/>
      <c r="AB14">
        <f>24*4</f>
        <v>96</v>
      </c>
    </row>
    <row r="15" spans="1:32" x14ac:dyDescent="0.3">
      <c r="A15" s="6">
        <v>1</v>
      </c>
      <c r="B15" s="2">
        <v>1</v>
      </c>
      <c r="C15" s="2" t="s">
        <v>81</v>
      </c>
      <c r="D15" t="s">
        <v>40</v>
      </c>
      <c r="E15" t="s">
        <v>9</v>
      </c>
      <c r="F15" s="2" t="s">
        <v>7</v>
      </c>
      <c r="G15" s="2" t="s">
        <v>5</v>
      </c>
      <c r="H15" s="2" t="s">
        <v>3</v>
      </c>
      <c r="I15" s="32" t="s">
        <v>1</v>
      </c>
      <c r="J15" s="2"/>
      <c r="K15">
        <v>2</v>
      </c>
      <c r="L15">
        <v>6</v>
      </c>
      <c r="M15" s="17"/>
      <c r="N15" s="17"/>
      <c r="O15" s="17"/>
      <c r="P15" s="17"/>
      <c r="AB15">
        <f>96/2</f>
        <v>48</v>
      </c>
      <c r="AC15">
        <f>AB15/4</f>
        <v>12</v>
      </c>
      <c r="AD15" t="s">
        <v>12</v>
      </c>
    </row>
    <row r="16" spans="1:32" x14ac:dyDescent="0.3">
      <c r="A16" s="6">
        <v>1</v>
      </c>
      <c r="B16" s="2">
        <v>1</v>
      </c>
      <c r="C16" s="2" t="s">
        <v>81</v>
      </c>
      <c r="D16" t="s">
        <v>0</v>
      </c>
      <c r="F16" s="2" t="s">
        <v>8</v>
      </c>
      <c r="G16" s="2" t="s">
        <v>7</v>
      </c>
      <c r="H16" s="2" t="s">
        <v>5</v>
      </c>
      <c r="I16" s="2" t="s">
        <v>6</v>
      </c>
      <c r="J16" s="2"/>
      <c r="K16">
        <v>2</v>
      </c>
      <c r="L16">
        <v>7</v>
      </c>
      <c r="M16" s="17"/>
      <c r="N16" s="17"/>
      <c r="O16" s="17"/>
      <c r="P16" s="17"/>
      <c r="R16" s="2"/>
      <c r="S16" s="2"/>
      <c r="T16" s="2"/>
      <c r="AB16">
        <f>AB14*2</f>
        <v>192</v>
      </c>
      <c r="AC16">
        <v>24</v>
      </c>
    </row>
    <row r="17" spans="1:29" x14ac:dyDescent="0.3">
      <c r="A17" s="6">
        <v>1</v>
      </c>
      <c r="B17" s="2">
        <v>2</v>
      </c>
      <c r="C17" s="2" t="str">
        <f t="shared" si="0"/>
        <v>speak</v>
      </c>
      <c r="D17" t="s">
        <v>40</v>
      </c>
      <c r="E17" t="s">
        <v>10</v>
      </c>
      <c r="F17" s="2" t="s">
        <v>8</v>
      </c>
      <c r="G17" s="2" t="s">
        <v>7</v>
      </c>
      <c r="H17" s="2" t="s">
        <v>5</v>
      </c>
      <c r="I17" s="2" t="s">
        <v>6</v>
      </c>
      <c r="J17" s="2"/>
      <c r="K17">
        <v>2</v>
      </c>
      <c r="L17">
        <v>8</v>
      </c>
      <c r="M17" s="17"/>
      <c r="N17" s="17"/>
      <c r="O17" s="17"/>
      <c r="P17" s="17"/>
      <c r="AB17">
        <f>96*4</f>
        <v>384</v>
      </c>
      <c r="AC17">
        <f>12*4</f>
        <v>48</v>
      </c>
    </row>
    <row r="18" spans="1:29" x14ac:dyDescent="0.3">
      <c r="A18" s="5">
        <v>2</v>
      </c>
      <c r="B18" s="4">
        <v>1</v>
      </c>
      <c r="C18" s="4" t="s">
        <v>81</v>
      </c>
      <c r="D18" t="s">
        <v>0</v>
      </c>
      <c r="F18" s="2" t="s">
        <v>1</v>
      </c>
      <c r="G18" s="2" t="s">
        <v>5</v>
      </c>
      <c r="H18" s="2" t="s">
        <v>7</v>
      </c>
      <c r="I18" s="2" t="s">
        <v>8</v>
      </c>
      <c r="J18" s="2"/>
      <c r="K18">
        <v>3</v>
      </c>
      <c r="L18">
        <v>1</v>
      </c>
      <c r="M18" s="19"/>
      <c r="N18" s="19"/>
      <c r="O18" s="19"/>
      <c r="P18" s="19"/>
    </row>
    <row r="19" spans="1:29" x14ac:dyDescent="0.3">
      <c r="A19" s="5">
        <v>2</v>
      </c>
      <c r="B19" s="4">
        <v>1</v>
      </c>
      <c r="C19" s="4" t="s">
        <v>81</v>
      </c>
      <c r="D19" t="s">
        <v>40</v>
      </c>
      <c r="E19" t="s">
        <v>9</v>
      </c>
      <c r="F19" s="32" t="s">
        <v>1</v>
      </c>
      <c r="G19" s="2" t="s">
        <v>5</v>
      </c>
      <c r="H19" s="2" t="s">
        <v>7</v>
      </c>
      <c r="I19" s="2" t="s">
        <v>8</v>
      </c>
      <c r="J19" s="2"/>
      <c r="K19">
        <v>3</v>
      </c>
      <c r="L19">
        <v>2</v>
      </c>
      <c r="M19" s="19"/>
      <c r="N19" s="19"/>
      <c r="O19" s="19"/>
      <c r="P19" s="19"/>
      <c r="AB19" t="s">
        <v>90</v>
      </c>
    </row>
    <row r="20" spans="1:29" x14ac:dyDescent="0.3">
      <c r="A20" s="5">
        <v>2</v>
      </c>
      <c r="B20" s="4">
        <v>1</v>
      </c>
      <c r="C20" s="4" t="s">
        <v>81</v>
      </c>
      <c r="D20" t="s">
        <v>0</v>
      </c>
      <c r="F20" s="2" t="s">
        <v>2</v>
      </c>
      <c r="G20" s="2" t="s">
        <v>3</v>
      </c>
      <c r="H20" s="2" t="s">
        <v>6</v>
      </c>
      <c r="I20" s="2" t="s">
        <v>4</v>
      </c>
      <c r="J20" s="2"/>
      <c r="K20">
        <v>3</v>
      </c>
      <c r="L20">
        <v>3</v>
      </c>
      <c r="M20" s="19"/>
      <c r="N20" s="19"/>
      <c r="O20" s="19"/>
      <c r="P20" s="19"/>
      <c r="AB20" t="s">
        <v>91</v>
      </c>
    </row>
    <row r="21" spans="1:29" x14ac:dyDescent="0.3">
      <c r="A21" s="5">
        <v>2</v>
      </c>
      <c r="B21" s="4">
        <v>1</v>
      </c>
      <c r="C21" s="4" t="s">
        <v>81</v>
      </c>
      <c r="D21" t="s">
        <v>40</v>
      </c>
      <c r="E21" t="s">
        <v>9</v>
      </c>
      <c r="F21" s="2" t="s">
        <v>2</v>
      </c>
      <c r="G21" s="2" t="s">
        <v>3</v>
      </c>
      <c r="H21" s="2" t="s">
        <v>6</v>
      </c>
      <c r="I21" s="2" t="s">
        <v>4</v>
      </c>
      <c r="J21" s="2"/>
      <c r="K21">
        <v>3</v>
      </c>
      <c r="L21">
        <v>4</v>
      </c>
      <c r="M21" s="19"/>
      <c r="N21" s="19"/>
      <c r="O21" s="19"/>
      <c r="P21" s="19"/>
      <c r="AB21" t="s">
        <v>92</v>
      </c>
    </row>
    <row r="22" spans="1:29" x14ac:dyDescent="0.3">
      <c r="A22" s="5">
        <v>2</v>
      </c>
      <c r="B22" s="4">
        <v>1</v>
      </c>
      <c r="C22" s="4" t="s">
        <v>81</v>
      </c>
      <c r="D22" t="s">
        <v>0</v>
      </c>
      <c r="F22" s="2" t="s">
        <v>3</v>
      </c>
      <c r="G22" s="2" t="s">
        <v>1</v>
      </c>
      <c r="H22" s="3" t="s">
        <v>4</v>
      </c>
      <c r="I22" s="2" t="s">
        <v>6</v>
      </c>
      <c r="J22" s="2"/>
      <c r="K22">
        <v>3</v>
      </c>
      <c r="L22">
        <v>5</v>
      </c>
      <c r="M22" s="19"/>
      <c r="N22" s="19"/>
      <c r="O22" s="19"/>
      <c r="P22" s="19"/>
      <c r="AB22" t="s">
        <v>93</v>
      </c>
    </row>
    <row r="23" spans="1:29" x14ac:dyDescent="0.3">
      <c r="A23" s="5">
        <v>2</v>
      </c>
      <c r="B23" s="4">
        <v>2</v>
      </c>
      <c r="C23" s="2" t="str">
        <f t="shared" ref="C23:C24" si="1">IF(B23, "speak", "type")</f>
        <v>speak</v>
      </c>
      <c r="D23" t="s">
        <v>40</v>
      </c>
      <c r="E23" t="s">
        <v>10</v>
      </c>
      <c r="F23" s="2" t="s">
        <v>3</v>
      </c>
      <c r="G23" s="32" t="s">
        <v>1</v>
      </c>
      <c r="H23" s="3" t="s">
        <v>4</v>
      </c>
      <c r="I23" s="2" t="s">
        <v>6</v>
      </c>
      <c r="J23" s="2"/>
      <c r="K23">
        <v>3</v>
      </c>
      <c r="L23">
        <v>6</v>
      </c>
      <c r="M23" s="19"/>
      <c r="N23" s="19"/>
      <c r="O23" s="19"/>
      <c r="P23" s="19"/>
    </row>
    <row r="24" spans="1:29" x14ac:dyDescent="0.3">
      <c r="A24" s="5">
        <v>2</v>
      </c>
      <c r="B24" s="4">
        <v>2</v>
      </c>
      <c r="C24" s="2" t="str">
        <f t="shared" si="1"/>
        <v>speak</v>
      </c>
      <c r="D24" t="s">
        <v>0</v>
      </c>
      <c r="F24" s="3" t="s">
        <v>4</v>
      </c>
      <c r="G24" s="2" t="s">
        <v>7</v>
      </c>
      <c r="H24" s="3" t="s">
        <v>5</v>
      </c>
      <c r="I24" s="2" t="s">
        <v>2</v>
      </c>
      <c r="J24" s="2"/>
      <c r="K24">
        <v>3</v>
      </c>
      <c r="L24">
        <v>7</v>
      </c>
      <c r="M24" s="19"/>
      <c r="N24" s="19"/>
      <c r="O24" s="19"/>
      <c r="P24" s="19"/>
    </row>
    <row r="25" spans="1:29" x14ac:dyDescent="0.3">
      <c r="A25" s="5">
        <v>2</v>
      </c>
      <c r="B25" s="4">
        <v>1</v>
      </c>
      <c r="C25" s="4" t="s">
        <v>81</v>
      </c>
      <c r="D25" t="s">
        <v>40</v>
      </c>
      <c r="E25" t="s">
        <v>10</v>
      </c>
      <c r="F25" s="3" t="s">
        <v>4</v>
      </c>
      <c r="G25" s="2" t="s">
        <v>7</v>
      </c>
      <c r="H25" s="3" t="s">
        <v>5</v>
      </c>
      <c r="I25" s="2" t="s">
        <v>2</v>
      </c>
      <c r="J25" s="2"/>
      <c r="K25">
        <v>3</v>
      </c>
      <c r="L25">
        <v>8</v>
      </c>
      <c r="M25" s="19"/>
      <c r="N25" s="19"/>
      <c r="O25" s="19"/>
      <c r="P25" s="19"/>
    </row>
    <row r="26" spans="1:29" x14ac:dyDescent="0.3">
      <c r="A26" s="5">
        <v>2</v>
      </c>
      <c r="B26" s="4">
        <v>1</v>
      </c>
      <c r="C26" s="4" t="s">
        <v>81</v>
      </c>
      <c r="D26" t="s">
        <v>0</v>
      </c>
      <c r="F26" s="3" t="s">
        <v>5</v>
      </c>
      <c r="G26" s="2" t="s">
        <v>2</v>
      </c>
      <c r="H26" s="2" t="s">
        <v>8</v>
      </c>
      <c r="I26" s="2" t="s">
        <v>7</v>
      </c>
      <c r="J26" s="2"/>
      <c r="K26">
        <v>4</v>
      </c>
      <c r="L26">
        <v>1</v>
      </c>
      <c r="M26" s="20"/>
      <c r="N26" s="20"/>
      <c r="O26" s="20"/>
      <c r="P26" s="20"/>
    </row>
    <row r="27" spans="1:29" x14ac:dyDescent="0.3">
      <c r="A27" s="5">
        <v>2</v>
      </c>
      <c r="B27" s="4">
        <v>2</v>
      </c>
      <c r="C27" s="2" t="str">
        <f t="shared" ref="C27:C32" si="2">IF(B27, "speak", "type")</f>
        <v>speak</v>
      </c>
      <c r="D27" t="s">
        <v>40</v>
      </c>
      <c r="E27" t="s">
        <v>10</v>
      </c>
      <c r="F27" s="3" t="s">
        <v>5</v>
      </c>
      <c r="G27" s="2" t="s">
        <v>2</v>
      </c>
      <c r="H27" s="2" t="s">
        <v>8</v>
      </c>
      <c r="I27" s="2" t="s">
        <v>7</v>
      </c>
      <c r="J27" s="2"/>
      <c r="K27">
        <v>4</v>
      </c>
      <c r="L27">
        <v>2</v>
      </c>
      <c r="M27" s="20"/>
      <c r="N27" s="20"/>
      <c r="O27" s="20"/>
      <c r="P27" s="20"/>
    </row>
    <row r="28" spans="1:29" x14ac:dyDescent="0.3">
      <c r="A28" s="5">
        <v>2</v>
      </c>
      <c r="B28" s="4">
        <v>2</v>
      </c>
      <c r="C28" s="2" t="str">
        <f t="shared" si="2"/>
        <v>speak</v>
      </c>
      <c r="D28" t="s">
        <v>0</v>
      </c>
      <c r="F28" s="2" t="s">
        <v>6</v>
      </c>
      <c r="G28" s="2" t="s">
        <v>4</v>
      </c>
      <c r="H28" s="2" t="s">
        <v>2</v>
      </c>
      <c r="I28" s="2" t="s">
        <v>3</v>
      </c>
      <c r="J28" s="2"/>
      <c r="K28">
        <v>4</v>
      </c>
      <c r="L28">
        <v>3</v>
      </c>
      <c r="M28" s="20"/>
      <c r="N28" s="20"/>
      <c r="O28" s="20"/>
      <c r="P28" s="20"/>
    </row>
    <row r="29" spans="1:29" x14ac:dyDescent="0.3">
      <c r="A29" s="5">
        <v>2</v>
      </c>
      <c r="B29" s="4">
        <v>2</v>
      </c>
      <c r="C29" s="2" t="str">
        <f t="shared" si="2"/>
        <v>speak</v>
      </c>
      <c r="D29" t="s">
        <v>40</v>
      </c>
      <c r="E29" t="s">
        <v>9</v>
      </c>
      <c r="F29" s="2" t="s">
        <v>6</v>
      </c>
      <c r="G29" s="2" t="s">
        <v>4</v>
      </c>
      <c r="H29" s="2" t="s">
        <v>2</v>
      </c>
      <c r="I29" s="2" t="s">
        <v>3</v>
      </c>
      <c r="J29" s="2"/>
      <c r="K29">
        <v>4</v>
      </c>
      <c r="L29">
        <v>4</v>
      </c>
      <c r="M29" s="20"/>
      <c r="N29" s="20"/>
      <c r="O29" s="20"/>
      <c r="P29" s="20"/>
    </row>
    <row r="30" spans="1:29" x14ac:dyDescent="0.3">
      <c r="A30" s="5">
        <v>2</v>
      </c>
      <c r="B30" s="4">
        <v>2</v>
      </c>
      <c r="C30" s="2" t="str">
        <f t="shared" si="2"/>
        <v>speak</v>
      </c>
      <c r="D30" t="s">
        <v>0</v>
      </c>
      <c r="F30" s="2" t="s">
        <v>7</v>
      </c>
      <c r="G30" s="2" t="s">
        <v>8</v>
      </c>
      <c r="H30" s="2" t="s">
        <v>1</v>
      </c>
      <c r="I30" s="2" t="s">
        <v>5</v>
      </c>
      <c r="J30" s="2"/>
      <c r="K30">
        <v>4</v>
      </c>
      <c r="L30">
        <v>5</v>
      </c>
      <c r="M30" s="20"/>
      <c r="N30" s="20"/>
      <c r="O30" s="20"/>
      <c r="P30" s="20"/>
    </row>
    <row r="31" spans="1:29" x14ac:dyDescent="0.3">
      <c r="A31" s="5">
        <v>2</v>
      </c>
      <c r="B31" s="4">
        <v>2</v>
      </c>
      <c r="C31" s="2" t="str">
        <f t="shared" si="2"/>
        <v>speak</v>
      </c>
      <c r="D31" t="s">
        <v>40</v>
      </c>
      <c r="E31" t="s">
        <v>9</v>
      </c>
      <c r="F31" s="2" t="s">
        <v>7</v>
      </c>
      <c r="G31" s="2" t="s">
        <v>8</v>
      </c>
      <c r="H31" s="32" t="s">
        <v>1</v>
      </c>
      <c r="I31" s="2" t="s">
        <v>5</v>
      </c>
      <c r="J31" s="2"/>
      <c r="K31">
        <v>4</v>
      </c>
      <c r="L31">
        <v>6</v>
      </c>
      <c r="M31" s="20"/>
      <c r="N31" s="20"/>
      <c r="O31" s="20"/>
      <c r="P31" s="20"/>
    </row>
    <row r="32" spans="1:29" x14ac:dyDescent="0.3">
      <c r="A32" s="5">
        <v>2</v>
      </c>
      <c r="B32" s="4">
        <v>2</v>
      </c>
      <c r="C32" s="2" t="str">
        <f t="shared" si="2"/>
        <v>speak</v>
      </c>
      <c r="D32" t="s">
        <v>0</v>
      </c>
      <c r="F32" s="2" t="s">
        <v>8</v>
      </c>
      <c r="G32" s="2" t="s">
        <v>6</v>
      </c>
      <c r="H32" s="2" t="s">
        <v>3</v>
      </c>
      <c r="I32" s="2" t="s">
        <v>1</v>
      </c>
      <c r="J32" s="2"/>
      <c r="K32">
        <v>4</v>
      </c>
      <c r="L32">
        <v>7</v>
      </c>
      <c r="M32" s="20"/>
      <c r="N32" s="20"/>
      <c r="O32" s="20"/>
      <c r="P32" s="20"/>
    </row>
    <row r="33" spans="1:16" x14ac:dyDescent="0.3">
      <c r="A33" s="5">
        <v>2</v>
      </c>
      <c r="B33" s="4">
        <v>1</v>
      </c>
      <c r="C33" s="4" t="s">
        <v>81</v>
      </c>
      <c r="D33" t="s">
        <v>40</v>
      </c>
      <c r="E33" t="s">
        <v>10</v>
      </c>
      <c r="F33" s="2" t="s">
        <v>8</v>
      </c>
      <c r="G33" s="2" t="s">
        <v>6</v>
      </c>
      <c r="H33" s="2" t="s">
        <v>3</v>
      </c>
      <c r="I33" s="32" t="s">
        <v>1</v>
      </c>
      <c r="J33" s="2"/>
      <c r="K33">
        <v>4</v>
      </c>
      <c r="L33">
        <v>8</v>
      </c>
      <c r="M33" s="20"/>
      <c r="N33" s="20"/>
      <c r="O33" s="20"/>
      <c r="P33" s="20"/>
    </row>
    <row r="34" spans="1:16" x14ac:dyDescent="0.3">
      <c r="A34" s="6">
        <v>3</v>
      </c>
      <c r="B34" s="4">
        <v>1</v>
      </c>
      <c r="C34" s="4" t="s">
        <v>81</v>
      </c>
      <c r="D34" t="s">
        <v>0</v>
      </c>
      <c r="F34" s="2" t="s">
        <v>1</v>
      </c>
      <c r="G34" s="2" t="s">
        <v>6</v>
      </c>
      <c r="H34" s="2" t="s">
        <v>4</v>
      </c>
      <c r="I34" s="2" t="s">
        <v>5</v>
      </c>
      <c r="J34" s="2"/>
    </row>
    <row r="35" spans="1:16" x14ac:dyDescent="0.3">
      <c r="A35" s="6">
        <v>3</v>
      </c>
      <c r="B35" s="4">
        <v>2</v>
      </c>
      <c r="C35" s="2" t="str">
        <f t="shared" ref="C35:C36" si="3">IF(B35, "speak", "type")</f>
        <v>speak</v>
      </c>
      <c r="D35" t="s">
        <v>40</v>
      </c>
      <c r="E35" t="s">
        <v>10</v>
      </c>
      <c r="F35" s="32" t="s">
        <v>1</v>
      </c>
      <c r="G35" s="2" t="s">
        <v>6</v>
      </c>
      <c r="H35" s="2" t="s">
        <v>4</v>
      </c>
      <c r="I35" s="2" t="s">
        <v>5</v>
      </c>
      <c r="J35" s="2"/>
    </row>
    <row r="36" spans="1:16" x14ac:dyDescent="0.3">
      <c r="A36" s="6">
        <v>3</v>
      </c>
      <c r="B36" s="4">
        <v>2</v>
      </c>
      <c r="C36" s="2" t="str">
        <f t="shared" si="3"/>
        <v>speak</v>
      </c>
      <c r="D36" t="s">
        <v>0</v>
      </c>
      <c r="F36" s="2" t="s">
        <v>2</v>
      </c>
      <c r="G36" s="2" t="s">
        <v>4</v>
      </c>
      <c r="H36" s="2" t="s">
        <v>7</v>
      </c>
      <c r="I36" s="2" t="s">
        <v>1</v>
      </c>
      <c r="J36" s="2"/>
    </row>
    <row r="37" spans="1:16" x14ac:dyDescent="0.3">
      <c r="A37" s="6">
        <v>3</v>
      </c>
      <c r="B37" s="4">
        <v>1</v>
      </c>
      <c r="C37" s="4" t="s">
        <v>81</v>
      </c>
      <c r="D37" t="s">
        <v>40</v>
      </c>
      <c r="E37" t="s">
        <v>10</v>
      </c>
      <c r="F37" s="2" t="s">
        <v>2</v>
      </c>
      <c r="G37" s="2" t="s">
        <v>4</v>
      </c>
      <c r="H37" s="2" t="s">
        <v>7</v>
      </c>
      <c r="I37" s="32" t="s">
        <v>1</v>
      </c>
      <c r="J37" s="2"/>
    </row>
    <row r="38" spans="1:16" x14ac:dyDescent="0.3">
      <c r="A38" s="6">
        <v>3</v>
      </c>
      <c r="B38" s="4">
        <v>1</v>
      </c>
      <c r="C38" s="4" t="s">
        <v>81</v>
      </c>
      <c r="D38" t="s">
        <v>0</v>
      </c>
      <c r="F38" s="2" t="s">
        <v>3</v>
      </c>
      <c r="G38" s="2" t="s">
        <v>8</v>
      </c>
      <c r="H38" s="2" t="s">
        <v>2</v>
      </c>
      <c r="I38" s="2" t="s">
        <v>7</v>
      </c>
      <c r="J38" s="2"/>
    </row>
    <row r="39" spans="1:16" x14ac:dyDescent="0.3">
      <c r="A39" s="6">
        <v>3</v>
      </c>
      <c r="B39" s="4">
        <v>2</v>
      </c>
      <c r="C39" s="2" t="str">
        <f t="shared" ref="C39:C44" si="4">IF(B39, "speak", "type")</f>
        <v>speak</v>
      </c>
      <c r="D39" t="s">
        <v>40</v>
      </c>
      <c r="E39" t="s">
        <v>10</v>
      </c>
      <c r="F39" s="2" t="s">
        <v>3</v>
      </c>
      <c r="G39" s="2" t="s">
        <v>8</v>
      </c>
      <c r="H39" s="2" t="s">
        <v>2</v>
      </c>
      <c r="I39" s="2" t="s">
        <v>7</v>
      </c>
      <c r="J39" s="2"/>
    </row>
    <row r="40" spans="1:16" x14ac:dyDescent="0.3">
      <c r="A40" s="6">
        <v>3</v>
      </c>
      <c r="B40" s="4">
        <v>2</v>
      </c>
      <c r="C40" s="2" t="str">
        <f t="shared" si="4"/>
        <v>speak</v>
      </c>
      <c r="D40" t="s">
        <v>0</v>
      </c>
      <c r="F40" s="2" t="s">
        <v>4</v>
      </c>
      <c r="G40" s="2" t="s">
        <v>7</v>
      </c>
      <c r="H40" s="2" t="s">
        <v>6</v>
      </c>
      <c r="I40" s="2" t="s">
        <v>3</v>
      </c>
      <c r="J40" s="2"/>
    </row>
    <row r="41" spans="1:16" x14ac:dyDescent="0.3">
      <c r="A41" s="6">
        <v>3</v>
      </c>
      <c r="B41" s="4">
        <v>2</v>
      </c>
      <c r="C41" s="2" t="str">
        <f t="shared" si="4"/>
        <v>speak</v>
      </c>
      <c r="D41" t="s">
        <v>40</v>
      </c>
      <c r="E41" t="s">
        <v>9</v>
      </c>
      <c r="F41" s="2" t="s">
        <v>4</v>
      </c>
      <c r="G41" s="2" t="s">
        <v>7</v>
      </c>
      <c r="H41" s="2" t="s">
        <v>6</v>
      </c>
      <c r="I41" s="2" t="s">
        <v>3</v>
      </c>
      <c r="J41" s="2"/>
    </row>
    <row r="42" spans="1:16" x14ac:dyDescent="0.3">
      <c r="A42" s="6">
        <v>3</v>
      </c>
      <c r="B42" s="4">
        <v>2</v>
      </c>
      <c r="C42" s="2" t="str">
        <f t="shared" si="4"/>
        <v>speak</v>
      </c>
      <c r="D42" t="s">
        <v>0</v>
      </c>
      <c r="F42" s="2" t="s">
        <v>5</v>
      </c>
      <c r="G42" s="2" t="s">
        <v>1</v>
      </c>
      <c r="H42" s="2" t="s">
        <v>8</v>
      </c>
      <c r="I42" s="2" t="s">
        <v>2</v>
      </c>
      <c r="J42" s="2"/>
    </row>
    <row r="43" spans="1:16" x14ac:dyDescent="0.3">
      <c r="A43" s="6">
        <v>3</v>
      </c>
      <c r="B43" s="4">
        <v>2</v>
      </c>
      <c r="C43" s="2" t="str">
        <f t="shared" si="4"/>
        <v>speak</v>
      </c>
      <c r="D43" t="s">
        <v>40</v>
      </c>
      <c r="E43" t="s">
        <v>9</v>
      </c>
      <c r="F43" s="2" t="s">
        <v>5</v>
      </c>
      <c r="G43" s="32" t="s">
        <v>1</v>
      </c>
      <c r="H43" s="2" t="s">
        <v>8</v>
      </c>
      <c r="I43" s="2" t="s">
        <v>2</v>
      </c>
      <c r="J43" s="2"/>
    </row>
    <row r="44" spans="1:16" x14ac:dyDescent="0.3">
      <c r="A44" s="6">
        <v>3</v>
      </c>
      <c r="B44" s="4">
        <v>2</v>
      </c>
      <c r="C44" s="2" t="str">
        <f t="shared" si="4"/>
        <v>speak</v>
      </c>
      <c r="D44" t="s">
        <v>0</v>
      </c>
      <c r="F44" s="2" t="s">
        <v>6</v>
      </c>
      <c r="G44" s="2" t="s">
        <v>3</v>
      </c>
      <c r="H44" s="2" t="s">
        <v>5</v>
      </c>
      <c r="I44" s="2" t="s">
        <v>8</v>
      </c>
      <c r="J44" s="2"/>
    </row>
    <row r="45" spans="1:16" x14ac:dyDescent="0.3">
      <c r="A45" s="6">
        <v>3</v>
      </c>
      <c r="B45" s="4">
        <v>1</v>
      </c>
      <c r="C45" s="4" t="s">
        <v>81</v>
      </c>
      <c r="D45" t="s">
        <v>40</v>
      </c>
      <c r="E45" t="s">
        <v>10</v>
      </c>
      <c r="F45" s="2" t="s">
        <v>6</v>
      </c>
      <c r="G45" s="2" t="s">
        <v>3</v>
      </c>
      <c r="H45" s="2" t="s">
        <v>5</v>
      </c>
      <c r="I45" s="2" t="s">
        <v>8</v>
      </c>
      <c r="J45" s="2"/>
    </row>
    <row r="46" spans="1:16" x14ac:dyDescent="0.3">
      <c r="A46" s="6">
        <v>3</v>
      </c>
      <c r="B46" s="4">
        <v>1</v>
      </c>
      <c r="C46" s="4" t="s">
        <v>81</v>
      </c>
      <c r="D46" t="s">
        <v>0</v>
      </c>
      <c r="F46" s="2" t="s">
        <v>7</v>
      </c>
      <c r="G46" s="2" t="s">
        <v>5</v>
      </c>
      <c r="H46" s="2" t="s">
        <v>3</v>
      </c>
      <c r="I46" s="2" t="s">
        <v>6</v>
      </c>
      <c r="J46" s="2"/>
    </row>
    <row r="47" spans="1:16" x14ac:dyDescent="0.3">
      <c r="A47" s="6">
        <v>3</v>
      </c>
      <c r="B47" s="4">
        <v>1</v>
      </c>
      <c r="C47" s="4" t="s">
        <v>81</v>
      </c>
      <c r="D47" t="s">
        <v>40</v>
      </c>
      <c r="E47" t="s">
        <v>9</v>
      </c>
      <c r="F47" s="2" t="s">
        <v>7</v>
      </c>
      <c r="G47" s="2" t="s">
        <v>5</v>
      </c>
      <c r="H47" s="2" t="s">
        <v>3</v>
      </c>
      <c r="I47" s="2" t="s">
        <v>6</v>
      </c>
      <c r="J47" s="2"/>
    </row>
    <row r="48" spans="1:16" x14ac:dyDescent="0.3">
      <c r="A48" s="6">
        <v>3</v>
      </c>
      <c r="B48" s="4">
        <v>1</v>
      </c>
      <c r="C48" s="4" t="s">
        <v>81</v>
      </c>
      <c r="D48" t="s">
        <v>0</v>
      </c>
      <c r="F48" s="2" t="s">
        <v>8</v>
      </c>
      <c r="G48" s="2" t="s">
        <v>2</v>
      </c>
      <c r="H48" s="2" t="s">
        <v>1</v>
      </c>
      <c r="I48" s="2" t="s">
        <v>4</v>
      </c>
      <c r="J48" s="2"/>
    </row>
    <row r="49" spans="1:14" x14ac:dyDescent="0.3">
      <c r="A49" s="6">
        <v>3</v>
      </c>
      <c r="B49" s="4">
        <v>1</v>
      </c>
      <c r="C49" s="4" t="s">
        <v>81</v>
      </c>
      <c r="D49" t="s">
        <v>40</v>
      </c>
      <c r="E49" t="s">
        <v>9</v>
      </c>
      <c r="F49" s="2" t="s">
        <v>8</v>
      </c>
      <c r="G49" s="2" t="s">
        <v>2</v>
      </c>
      <c r="H49" s="32" t="s">
        <v>1</v>
      </c>
      <c r="I49" s="2" t="s">
        <v>4</v>
      </c>
      <c r="J49" s="2"/>
    </row>
    <row r="50" spans="1:14" x14ac:dyDescent="0.3">
      <c r="A50" s="5">
        <v>4</v>
      </c>
      <c r="B50" s="4">
        <v>1</v>
      </c>
      <c r="C50" s="4" t="s">
        <v>81</v>
      </c>
      <c r="D50" t="s">
        <v>0</v>
      </c>
      <c r="F50" s="2" t="s">
        <v>1</v>
      </c>
      <c r="G50" s="2" t="s">
        <v>3</v>
      </c>
      <c r="H50" s="2" t="s">
        <v>4</v>
      </c>
      <c r="I50" s="2" t="s">
        <v>6</v>
      </c>
      <c r="J50" s="2"/>
    </row>
    <row r="51" spans="1:14" x14ac:dyDescent="0.3">
      <c r="A51" s="5">
        <v>4</v>
      </c>
      <c r="B51" s="4">
        <v>1</v>
      </c>
      <c r="C51" s="4" t="s">
        <v>81</v>
      </c>
      <c r="D51" t="s">
        <v>40</v>
      </c>
      <c r="E51" t="s">
        <v>9</v>
      </c>
      <c r="F51" s="32" t="s">
        <v>1</v>
      </c>
      <c r="G51" s="2" t="s">
        <v>3</v>
      </c>
      <c r="H51" s="2" t="s">
        <v>4</v>
      </c>
      <c r="I51" s="2" t="s">
        <v>6</v>
      </c>
      <c r="J51" s="2"/>
    </row>
    <row r="52" spans="1:14" x14ac:dyDescent="0.3">
      <c r="A52" s="5">
        <v>4</v>
      </c>
      <c r="B52" s="4">
        <v>1</v>
      </c>
      <c r="C52" s="4" t="s">
        <v>81</v>
      </c>
      <c r="D52" t="s">
        <v>0</v>
      </c>
      <c r="F52" s="2" t="s">
        <v>2</v>
      </c>
      <c r="G52" s="2" t="s">
        <v>8</v>
      </c>
      <c r="H52" s="2" t="s">
        <v>6</v>
      </c>
      <c r="I52" s="2" t="s">
        <v>3</v>
      </c>
      <c r="J52" s="2"/>
      <c r="N52" t="s">
        <v>19</v>
      </c>
    </row>
    <row r="53" spans="1:14" x14ac:dyDescent="0.3">
      <c r="A53" s="5">
        <v>4</v>
      </c>
      <c r="B53" s="4">
        <v>2</v>
      </c>
      <c r="C53" s="2" t="str">
        <f t="shared" ref="C53:C56" si="5">IF(B53, "speak", "type")</f>
        <v>speak</v>
      </c>
      <c r="D53" t="s">
        <v>40</v>
      </c>
      <c r="E53" t="s">
        <v>10</v>
      </c>
      <c r="F53" s="2" t="s">
        <v>2</v>
      </c>
      <c r="G53" s="2" t="s">
        <v>8</v>
      </c>
      <c r="H53" s="2" t="s">
        <v>6</v>
      </c>
      <c r="I53" s="2" t="s">
        <v>3</v>
      </c>
      <c r="J53" s="2"/>
    </row>
    <row r="54" spans="1:14" x14ac:dyDescent="0.3">
      <c r="A54" s="5">
        <v>4</v>
      </c>
      <c r="B54" s="4">
        <v>2</v>
      </c>
      <c r="C54" s="2" t="str">
        <f t="shared" si="5"/>
        <v>speak</v>
      </c>
      <c r="D54" t="s">
        <v>0</v>
      </c>
      <c r="F54" s="2" t="s">
        <v>3</v>
      </c>
      <c r="G54" s="2" t="s">
        <v>4</v>
      </c>
      <c r="H54" s="2" t="s">
        <v>2</v>
      </c>
      <c r="I54" s="2" t="s">
        <v>5</v>
      </c>
      <c r="J54" s="2"/>
    </row>
    <row r="55" spans="1:14" x14ac:dyDescent="0.3">
      <c r="A55" s="5">
        <v>4</v>
      </c>
      <c r="B55" s="4">
        <v>2</v>
      </c>
      <c r="C55" s="2" t="str">
        <f t="shared" si="5"/>
        <v>speak</v>
      </c>
      <c r="D55" t="s">
        <v>40</v>
      </c>
      <c r="E55" t="s">
        <v>9</v>
      </c>
      <c r="F55" s="2" t="s">
        <v>3</v>
      </c>
      <c r="G55" s="2" t="s">
        <v>4</v>
      </c>
      <c r="H55" s="2" t="s">
        <v>2</v>
      </c>
      <c r="I55" s="2" t="s">
        <v>5</v>
      </c>
      <c r="J55" s="2"/>
    </row>
    <row r="56" spans="1:14" x14ac:dyDescent="0.3">
      <c r="A56" s="5">
        <v>4</v>
      </c>
      <c r="B56" s="4">
        <v>2</v>
      </c>
      <c r="C56" s="2" t="str">
        <f t="shared" si="5"/>
        <v>speak</v>
      </c>
      <c r="D56" t="s">
        <v>0</v>
      </c>
      <c r="F56" s="2" t="s">
        <v>4</v>
      </c>
      <c r="G56" s="2" t="s">
        <v>2</v>
      </c>
      <c r="H56" s="2" t="s">
        <v>5</v>
      </c>
      <c r="I56" s="2" t="s">
        <v>1</v>
      </c>
      <c r="J56" s="2"/>
    </row>
    <row r="57" spans="1:14" x14ac:dyDescent="0.3">
      <c r="A57" s="5">
        <v>4</v>
      </c>
      <c r="B57" s="4">
        <v>1</v>
      </c>
      <c r="C57" s="4" t="s">
        <v>81</v>
      </c>
      <c r="D57" t="s">
        <v>40</v>
      </c>
      <c r="E57" t="s">
        <v>10</v>
      </c>
      <c r="F57" s="2" t="s">
        <v>4</v>
      </c>
      <c r="G57" s="2" t="s">
        <v>2</v>
      </c>
      <c r="H57" s="2" t="s">
        <v>5</v>
      </c>
      <c r="I57" s="32" t="s">
        <v>1</v>
      </c>
      <c r="J57" s="2"/>
    </row>
    <row r="58" spans="1:14" x14ac:dyDescent="0.3">
      <c r="A58" s="5">
        <v>4</v>
      </c>
      <c r="B58" s="4">
        <v>1</v>
      </c>
      <c r="C58" s="4" t="s">
        <v>81</v>
      </c>
      <c r="D58" t="s">
        <v>0</v>
      </c>
      <c r="F58" s="2" t="s">
        <v>5</v>
      </c>
      <c r="G58" s="2" t="s">
        <v>7</v>
      </c>
      <c r="H58" s="2" t="s">
        <v>1</v>
      </c>
      <c r="I58" s="2" t="s">
        <v>4</v>
      </c>
      <c r="J58" s="2"/>
    </row>
    <row r="59" spans="1:14" x14ac:dyDescent="0.3">
      <c r="A59" s="5">
        <v>4</v>
      </c>
      <c r="B59" s="4">
        <v>2</v>
      </c>
      <c r="C59" s="2" t="str">
        <f t="shared" ref="C59:C62" si="6">IF(B59, "speak", "type")</f>
        <v>speak</v>
      </c>
      <c r="D59" t="s">
        <v>40</v>
      </c>
      <c r="E59" t="s">
        <v>10</v>
      </c>
      <c r="F59" s="2" t="s">
        <v>5</v>
      </c>
      <c r="G59" s="2" t="s">
        <v>7</v>
      </c>
      <c r="H59" s="32" t="s">
        <v>1</v>
      </c>
      <c r="I59" s="2" t="s">
        <v>4</v>
      </c>
      <c r="J59" s="2"/>
    </row>
    <row r="60" spans="1:14" x14ac:dyDescent="0.3">
      <c r="A60" s="5">
        <v>4</v>
      </c>
      <c r="B60" s="4">
        <v>2</v>
      </c>
      <c r="C60" s="2" t="str">
        <f t="shared" si="6"/>
        <v>speak</v>
      </c>
      <c r="D60" t="s">
        <v>0</v>
      </c>
      <c r="F60" s="2" t="s">
        <v>6</v>
      </c>
      <c r="G60" s="2" t="s">
        <v>1</v>
      </c>
      <c r="H60" s="2" t="s">
        <v>8</v>
      </c>
      <c r="I60" s="2" t="s">
        <v>7</v>
      </c>
      <c r="J60" s="2"/>
    </row>
    <row r="61" spans="1:14" x14ac:dyDescent="0.3">
      <c r="A61" s="5">
        <v>4</v>
      </c>
      <c r="B61" s="4">
        <v>2</v>
      </c>
      <c r="C61" s="2" t="str">
        <f t="shared" si="6"/>
        <v>speak</v>
      </c>
      <c r="D61" t="s">
        <v>40</v>
      </c>
      <c r="E61" t="s">
        <v>9</v>
      </c>
      <c r="F61" s="2" t="s">
        <v>6</v>
      </c>
      <c r="G61" s="32" t="s">
        <v>1</v>
      </c>
      <c r="H61" s="2" t="s">
        <v>8</v>
      </c>
      <c r="I61" s="2" t="s">
        <v>7</v>
      </c>
      <c r="J61" s="2"/>
    </row>
    <row r="62" spans="1:14" x14ac:dyDescent="0.3">
      <c r="A62" s="5">
        <v>4</v>
      </c>
      <c r="B62" s="4">
        <v>2</v>
      </c>
      <c r="C62" s="2" t="str">
        <f t="shared" si="6"/>
        <v>speak</v>
      </c>
      <c r="D62" t="s">
        <v>0</v>
      </c>
      <c r="F62" s="2" t="s">
        <v>7</v>
      </c>
      <c r="G62" s="2" t="s">
        <v>6</v>
      </c>
      <c r="H62" s="2" t="s">
        <v>3</v>
      </c>
      <c r="I62" s="2" t="s">
        <v>8</v>
      </c>
      <c r="J62" s="2"/>
    </row>
    <row r="63" spans="1:14" x14ac:dyDescent="0.3">
      <c r="A63" s="5">
        <v>4</v>
      </c>
      <c r="B63" s="4">
        <v>1</v>
      </c>
      <c r="C63" s="4" t="s">
        <v>81</v>
      </c>
      <c r="D63" t="s">
        <v>40</v>
      </c>
      <c r="E63" t="s">
        <v>10</v>
      </c>
      <c r="F63" s="2" t="s">
        <v>7</v>
      </c>
      <c r="G63" s="2" t="s">
        <v>6</v>
      </c>
      <c r="H63" s="2" t="s">
        <v>3</v>
      </c>
      <c r="I63" s="2" t="s">
        <v>8</v>
      </c>
      <c r="J63" s="2"/>
    </row>
    <row r="64" spans="1:14" x14ac:dyDescent="0.3">
      <c r="A64" s="5">
        <v>4</v>
      </c>
      <c r="B64" s="4">
        <v>1</v>
      </c>
      <c r="C64" s="4" t="s">
        <v>81</v>
      </c>
      <c r="D64" t="s">
        <v>0</v>
      </c>
      <c r="F64" s="2" t="s">
        <v>8</v>
      </c>
      <c r="G64" s="2" t="s">
        <v>5</v>
      </c>
      <c r="H64" s="2" t="s">
        <v>7</v>
      </c>
      <c r="I64" s="2" t="s">
        <v>2</v>
      </c>
      <c r="J64" s="2"/>
    </row>
    <row r="65" spans="1:10" x14ac:dyDescent="0.3">
      <c r="A65" s="5">
        <v>4</v>
      </c>
      <c r="B65" s="4">
        <v>1</v>
      </c>
      <c r="C65" s="4" t="s">
        <v>81</v>
      </c>
      <c r="D65" t="s">
        <v>40</v>
      </c>
      <c r="E65" t="s">
        <v>9</v>
      </c>
      <c r="F65" s="2" t="s">
        <v>8</v>
      </c>
      <c r="G65" s="2" t="s">
        <v>5</v>
      </c>
      <c r="H65" s="2" t="s">
        <v>7</v>
      </c>
      <c r="I65" s="2" t="s">
        <v>2</v>
      </c>
      <c r="J65" s="2"/>
    </row>
  </sheetData>
  <phoneticPr fontId="2" type="noConversion"/>
  <pageMargins left="0.7" right="0.7" top="0.75" bottom="0.75" header="0.3" footer="0.3"/>
  <pageSetup paperSize="9" orientation="portrait" horizontalDpi="360" verticalDpi="360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850E9-2F6C-4086-A0D9-3FE629B4A7B1}">
  <dimension ref="A1:I15"/>
  <sheetViews>
    <sheetView workbookViewId="0">
      <selection activeCell="E19" sqref="E19"/>
    </sheetView>
  </sheetViews>
  <sheetFormatPr defaultRowHeight="14.4" x14ac:dyDescent="0.3"/>
  <sheetData>
    <row r="1" spans="1:9" x14ac:dyDescent="0.3">
      <c r="B1" t="s">
        <v>14</v>
      </c>
      <c r="C1" t="s">
        <v>120</v>
      </c>
      <c r="D1" t="s">
        <v>15</v>
      </c>
      <c r="E1" t="s">
        <v>120</v>
      </c>
      <c r="F1" t="s">
        <v>16</v>
      </c>
      <c r="G1" t="s">
        <v>120</v>
      </c>
      <c r="H1" t="s">
        <v>17</v>
      </c>
      <c r="I1" t="s">
        <v>120</v>
      </c>
    </row>
    <row r="2" spans="1:9" x14ac:dyDescent="0.3">
      <c r="A2" t="s">
        <v>1</v>
      </c>
      <c r="B2" t="s">
        <v>32</v>
      </c>
      <c r="C2" s="34">
        <v>128</v>
      </c>
      <c r="D2" t="s">
        <v>33</v>
      </c>
      <c r="E2" s="5">
        <v>16</v>
      </c>
      <c r="F2" t="s">
        <v>105</v>
      </c>
      <c r="G2" s="5">
        <v>178</v>
      </c>
      <c r="H2" s="25" t="s">
        <v>123</v>
      </c>
      <c r="I2">
        <v>354</v>
      </c>
    </row>
    <row r="3" spans="1:9" x14ac:dyDescent="0.3">
      <c r="A3" t="s">
        <v>2</v>
      </c>
      <c r="B3" t="s">
        <v>102</v>
      </c>
      <c r="C3" s="34">
        <v>142</v>
      </c>
      <c r="D3" t="s">
        <v>104</v>
      </c>
      <c r="E3" s="5">
        <v>175</v>
      </c>
      <c r="F3" t="s">
        <v>35</v>
      </c>
      <c r="G3" s="5">
        <v>242</v>
      </c>
      <c r="H3" s="25" t="s">
        <v>124</v>
      </c>
      <c r="I3">
        <v>377</v>
      </c>
    </row>
    <row r="4" spans="1:9" x14ac:dyDescent="0.3">
      <c r="A4" t="s">
        <v>3</v>
      </c>
      <c r="B4" t="s">
        <v>103</v>
      </c>
      <c r="C4" s="34">
        <v>152</v>
      </c>
      <c r="D4" t="s">
        <v>108</v>
      </c>
      <c r="E4" s="5">
        <v>30</v>
      </c>
      <c r="F4" t="s">
        <v>112</v>
      </c>
      <c r="G4" s="5">
        <v>48</v>
      </c>
      <c r="H4" t="s">
        <v>111</v>
      </c>
      <c r="I4">
        <v>381</v>
      </c>
    </row>
    <row r="5" spans="1:9" x14ac:dyDescent="0.3">
      <c r="A5" t="s">
        <v>4</v>
      </c>
      <c r="B5" t="s">
        <v>106</v>
      </c>
      <c r="C5" s="34">
        <v>19</v>
      </c>
      <c r="D5" t="s">
        <v>109</v>
      </c>
      <c r="E5" s="5">
        <v>319</v>
      </c>
      <c r="F5" s="25" t="s">
        <v>122</v>
      </c>
      <c r="G5" s="5">
        <v>487</v>
      </c>
      <c r="H5" s="25" t="s">
        <v>126</v>
      </c>
      <c r="I5">
        <v>411</v>
      </c>
    </row>
    <row r="6" spans="1:9" x14ac:dyDescent="0.3">
      <c r="A6" t="s">
        <v>5</v>
      </c>
      <c r="B6" s="25" t="s">
        <v>34</v>
      </c>
      <c r="C6" s="34">
        <v>199</v>
      </c>
      <c r="D6" t="s">
        <v>110</v>
      </c>
      <c r="E6" s="5">
        <v>320</v>
      </c>
      <c r="F6" t="s">
        <v>114</v>
      </c>
      <c r="G6" s="5">
        <v>552</v>
      </c>
      <c r="H6" t="s">
        <v>116</v>
      </c>
      <c r="I6">
        <v>636</v>
      </c>
    </row>
    <row r="7" spans="1:9" x14ac:dyDescent="0.3">
      <c r="A7" t="s">
        <v>6</v>
      </c>
      <c r="B7" t="s">
        <v>107</v>
      </c>
      <c r="C7" s="34">
        <v>235</v>
      </c>
      <c r="D7" t="s">
        <v>113</v>
      </c>
      <c r="E7" s="5">
        <v>517</v>
      </c>
      <c r="F7" t="s">
        <v>115</v>
      </c>
      <c r="G7" s="5">
        <v>576</v>
      </c>
      <c r="H7" s="25" t="s">
        <v>125</v>
      </c>
      <c r="I7">
        <v>664</v>
      </c>
    </row>
    <row r="8" spans="1:9" x14ac:dyDescent="0.3">
      <c r="A8" t="s">
        <v>7</v>
      </c>
      <c r="B8" t="s">
        <v>36</v>
      </c>
      <c r="C8" s="34">
        <v>264</v>
      </c>
      <c r="D8" t="s">
        <v>38</v>
      </c>
      <c r="E8" s="5">
        <v>610</v>
      </c>
      <c r="F8" t="s">
        <v>39</v>
      </c>
      <c r="G8" s="5">
        <v>687</v>
      </c>
      <c r="H8" t="s">
        <v>118</v>
      </c>
      <c r="I8">
        <v>8</v>
      </c>
    </row>
    <row r="9" spans="1:9" x14ac:dyDescent="0.3">
      <c r="A9" t="s">
        <v>8</v>
      </c>
      <c r="B9" t="s">
        <v>37</v>
      </c>
      <c r="C9" s="34">
        <v>271</v>
      </c>
      <c r="D9" s="25" t="s">
        <v>121</v>
      </c>
      <c r="E9" s="5">
        <v>622</v>
      </c>
      <c r="F9" t="s">
        <v>117</v>
      </c>
      <c r="G9" s="5">
        <v>719</v>
      </c>
      <c r="H9" t="s">
        <v>119</v>
      </c>
      <c r="I9">
        <v>91</v>
      </c>
    </row>
    <row r="11" spans="1:9" x14ac:dyDescent="0.3"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</row>
    <row r="12" spans="1:9" x14ac:dyDescent="0.3">
      <c r="A12" s="1" t="s">
        <v>14</v>
      </c>
      <c r="B12" t="s">
        <v>32</v>
      </c>
      <c r="C12" t="s">
        <v>102</v>
      </c>
      <c r="D12" t="s">
        <v>103</v>
      </c>
      <c r="E12" t="s">
        <v>106</v>
      </c>
      <c r="F12" t="s">
        <v>34</v>
      </c>
      <c r="G12" t="s">
        <v>107</v>
      </c>
      <c r="H12" t="s">
        <v>36</v>
      </c>
      <c r="I12" t="s">
        <v>37</v>
      </c>
    </row>
    <row r="13" spans="1:9" x14ac:dyDescent="0.3">
      <c r="A13" s="1" t="s">
        <v>15</v>
      </c>
      <c r="B13" t="s">
        <v>33</v>
      </c>
      <c r="C13" t="s">
        <v>104</v>
      </c>
      <c r="D13" t="s">
        <v>108</v>
      </c>
      <c r="E13" t="s">
        <v>109</v>
      </c>
      <c r="F13" t="s">
        <v>110</v>
      </c>
      <c r="G13" t="s">
        <v>113</v>
      </c>
      <c r="H13" t="s">
        <v>38</v>
      </c>
      <c r="I13" t="s">
        <v>121</v>
      </c>
    </row>
    <row r="14" spans="1:9" x14ac:dyDescent="0.3">
      <c r="A14" s="1" t="s">
        <v>16</v>
      </c>
      <c r="B14" t="s">
        <v>105</v>
      </c>
      <c r="C14" t="s">
        <v>35</v>
      </c>
      <c r="D14" t="s">
        <v>112</v>
      </c>
      <c r="E14" t="s">
        <v>122</v>
      </c>
      <c r="F14" t="s">
        <v>114</v>
      </c>
      <c r="G14" t="s">
        <v>115</v>
      </c>
      <c r="H14" t="s">
        <v>39</v>
      </c>
      <c r="I14" t="s">
        <v>117</v>
      </c>
    </row>
    <row r="15" spans="1:9" x14ac:dyDescent="0.3">
      <c r="A15" s="1" t="s">
        <v>17</v>
      </c>
      <c r="B15" t="s">
        <v>123</v>
      </c>
      <c r="C15" t="s">
        <v>124</v>
      </c>
      <c r="D15" t="s">
        <v>111</v>
      </c>
      <c r="E15" t="s">
        <v>126</v>
      </c>
      <c r="F15" t="s">
        <v>116</v>
      </c>
      <c r="G15" s="18" t="s">
        <v>125</v>
      </c>
      <c r="H15" t="s">
        <v>118</v>
      </c>
      <c r="I15" t="s">
        <v>119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88"/>
  <sheetViews>
    <sheetView zoomScale="85" zoomScaleNormal="85" workbookViewId="0">
      <selection activeCell="H23" sqref="H23"/>
    </sheetView>
  </sheetViews>
  <sheetFormatPr defaultRowHeight="14.4" x14ac:dyDescent="0.3"/>
  <cols>
    <col min="1" max="2" width="19.5546875" customWidth="1"/>
    <col min="4" max="4" width="19.5546875" customWidth="1"/>
    <col min="6" max="6" width="12.6640625" customWidth="1"/>
    <col min="7" max="7" width="11" bestFit="1" customWidth="1"/>
  </cols>
  <sheetData>
    <row r="1" spans="1:9" x14ac:dyDescent="0.3">
      <c r="A1" s="4" t="s">
        <v>83</v>
      </c>
      <c r="B1" s="4" t="s">
        <v>75</v>
      </c>
      <c r="C1" s="4" t="s">
        <v>76</v>
      </c>
      <c r="D1" s="4" t="s">
        <v>77</v>
      </c>
      <c r="E1" s="4" t="s">
        <v>78</v>
      </c>
      <c r="F1" s="4" t="s">
        <v>79</v>
      </c>
    </row>
    <row r="2" spans="1:9" x14ac:dyDescent="0.3">
      <c r="A2" s="7">
        <v>1</v>
      </c>
      <c r="B2" s="7">
        <v>2</v>
      </c>
      <c r="C2" s="12" t="s">
        <v>80</v>
      </c>
      <c r="D2" s="4" t="s">
        <v>0</v>
      </c>
      <c r="E2" s="4" t="s">
        <v>41</v>
      </c>
      <c r="F2" s="4" t="s">
        <v>43</v>
      </c>
    </row>
    <row r="3" spans="1:9" x14ac:dyDescent="0.3">
      <c r="A3" s="7">
        <v>1</v>
      </c>
      <c r="B3" s="7">
        <v>2</v>
      </c>
      <c r="C3" s="7" t="s">
        <v>80</v>
      </c>
      <c r="D3" s="4" t="s">
        <v>40</v>
      </c>
      <c r="E3" s="4" t="s">
        <v>9</v>
      </c>
      <c r="F3" s="4" t="s">
        <v>43</v>
      </c>
    </row>
    <row r="4" spans="1:9" x14ac:dyDescent="0.3">
      <c r="A4" s="7">
        <v>1</v>
      </c>
      <c r="B4" s="14">
        <v>1</v>
      </c>
      <c r="C4" s="13" t="s">
        <v>81</v>
      </c>
      <c r="D4" s="8" t="s">
        <v>29</v>
      </c>
      <c r="E4" s="4" t="s">
        <v>42</v>
      </c>
      <c r="F4" s="4" t="s">
        <v>74</v>
      </c>
      <c r="I4" t="s">
        <v>30</v>
      </c>
    </row>
    <row r="5" spans="1:9" x14ac:dyDescent="0.3">
      <c r="A5" s="7">
        <v>1</v>
      </c>
      <c r="B5" s="7">
        <v>2</v>
      </c>
      <c r="C5" s="7" t="s">
        <v>80</v>
      </c>
      <c r="D5" s="4" t="s">
        <v>0</v>
      </c>
      <c r="E5" s="4" t="s">
        <v>41</v>
      </c>
      <c r="F5" s="4" t="s">
        <v>44</v>
      </c>
      <c r="I5" t="s">
        <v>31</v>
      </c>
    </row>
    <row r="6" spans="1:9" x14ac:dyDescent="0.3">
      <c r="A6" s="7">
        <v>1</v>
      </c>
      <c r="B6" s="7">
        <v>2</v>
      </c>
      <c r="C6" s="12" t="s">
        <v>80</v>
      </c>
      <c r="D6" s="4" t="s">
        <v>40</v>
      </c>
      <c r="E6" s="4" t="s">
        <v>9</v>
      </c>
      <c r="F6" s="4" t="s">
        <v>44</v>
      </c>
    </row>
    <row r="7" spans="1:9" x14ac:dyDescent="0.3">
      <c r="A7" s="7">
        <v>1</v>
      </c>
      <c r="B7" s="14">
        <v>1</v>
      </c>
      <c r="C7" s="14" t="s">
        <v>81</v>
      </c>
      <c r="D7" s="8" t="s">
        <v>29</v>
      </c>
      <c r="E7" s="4" t="s">
        <v>42</v>
      </c>
      <c r="F7" s="4" t="s">
        <v>73</v>
      </c>
      <c r="I7" s="2" t="s">
        <v>82</v>
      </c>
    </row>
    <row r="8" spans="1:9" x14ac:dyDescent="0.3">
      <c r="A8" s="7">
        <v>1</v>
      </c>
      <c r="B8" s="7">
        <v>2</v>
      </c>
      <c r="C8" s="12" t="s">
        <v>80</v>
      </c>
      <c r="D8" s="4" t="s">
        <v>0</v>
      </c>
      <c r="E8" s="4" t="s">
        <v>41</v>
      </c>
      <c r="F8" s="4" t="s">
        <v>45</v>
      </c>
      <c r="I8" s="2"/>
    </row>
    <row r="9" spans="1:9" x14ac:dyDescent="0.3">
      <c r="A9" s="7">
        <v>1</v>
      </c>
      <c r="B9" s="7">
        <v>1</v>
      </c>
      <c r="C9" s="7" t="s">
        <v>81</v>
      </c>
      <c r="D9" s="4" t="s">
        <v>40</v>
      </c>
      <c r="E9" s="4" t="s">
        <v>10</v>
      </c>
      <c r="F9" s="4" t="s">
        <v>45</v>
      </c>
      <c r="I9" t="s">
        <v>26</v>
      </c>
    </row>
    <row r="10" spans="1:9" x14ac:dyDescent="0.3">
      <c r="A10" s="7">
        <v>1</v>
      </c>
      <c r="B10" s="7">
        <v>1</v>
      </c>
      <c r="C10" s="12" t="s">
        <v>81</v>
      </c>
      <c r="D10" s="4" t="s">
        <v>0</v>
      </c>
      <c r="E10" s="4" t="s">
        <v>41</v>
      </c>
      <c r="F10" s="4" t="s">
        <v>46</v>
      </c>
      <c r="I10" t="s">
        <v>84</v>
      </c>
    </row>
    <row r="11" spans="1:9" x14ac:dyDescent="0.3">
      <c r="A11" s="7">
        <v>1</v>
      </c>
      <c r="B11" s="7">
        <v>2</v>
      </c>
      <c r="C11" s="7" t="s">
        <v>80</v>
      </c>
      <c r="D11" s="4" t="s">
        <v>40</v>
      </c>
      <c r="E11" s="4" t="s">
        <v>10</v>
      </c>
      <c r="F11" s="4" t="s">
        <v>46</v>
      </c>
      <c r="I11" t="s">
        <v>27</v>
      </c>
    </row>
    <row r="12" spans="1:9" x14ac:dyDescent="0.3">
      <c r="A12" s="7">
        <v>1</v>
      </c>
      <c r="B12" s="14">
        <v>2</v>
      </c>
      <c r="C12" s="13" t="s">
        <v>80</v>
      </c>
      <c r="D12" s="8" t="s">
        <v>29</v>
      </c>
      <c r="E12" s="4" t="s">
        <v>42</v>
      </c>
      <c r="F12" s="4" t="s">
        <v>72</v>
      </c>
      <c r="I12" t="s">
        <v>85</v>
      </c>
    </row>
    <row r="13" spans="1:9" x14ac:dyDescent="0.3">
      <c r="A13" s="7">
        <v>1</v>
      </c>
      <c r="B13" s="7">
        <v>2</v>
      </c>
      <c r="C13" s="7" t="s">
        <v>80</v>
      </c>
      <c r="D13" s="4" t="s">
        <v>0</v>
      </c>
      <c r="E13" s="4" t="s">
        <v>41</v>
      </c>
      <c r="F13" s="4" t="s">
        <v>47</v>
      </c>
      <c r="I13" s="2"/>
    </row>
    <row r="14" spans="1:9" x14ac:dyDescent="0.3">
      <c r="A14" s="7">
        <v>1</v>
      </c>
      <c r="B14" s="7">
        <v>1</v>
      </c>
      <c r="C14" s="12" t="s">
        <v>81</v>
      </c>
      <c r="D14" s="4" t="s">
        <v>40</v>
      </c>
      <c r="E14" s="4" t="s">
        <v>10</v>
      </c>
      <c r="F14" s="4" t="s">
        <v>47</v>
      </c>
      <c r="I14" s="2"/>
    </row>
    <row r="15" spans="1:9" x14ac:dyDescent="0.3">
      <c r="A15" s="7">
        <v>1</v>
      </c>
      <c r="B15" s="14">
        <v>2</v>
      </c>
      <c r="C15" s="14" t="s">
        <v>80</v>
      </c>
      <c r="D15" s="8" t="s">
        <v>29</v>
      </c>
      <c r="E15" s="4" t="s">
        <v>42</v>
      </c>
      <c r="F15" s="4" t="s">
        <v>71</v>
      </c>
    </row>
    <row r="16" spans="1:9" x14ac:dyDescent="0.3">
      <c r="A16" s="7">
        <v>1</v>
      </c>
      <c r="B16" s="7">
        <v>1</v>
      </c>
      <c r="C16" s="12" t="s">
        <v>81</v>
      </c>
      <c r="D16" s="4" t="s">
        <v>0</v>
      </c>
      <c r="E16" s="4" t="s">
        <v>41</v>
      </c>
      <c r="F16" s="4" t="s">
        <v>48</v>
      </c>
    </row>
    <row r="17" spans="1:10" x14ac:dyDescent="0.3">
      <c r="A17" s="7">
        <v>1</v>
      </c>
      <c r="B17" s="7">
        <v>1</v>
      </c>
      <c r="C17" s="7" t="s">
        <v>81</v>
      </c>
      <c r="D17" s="4" t="s">
        <v>40</v>
      </c>
      <c r="E17" s="4" t="s">
        <v>9</v>
      </c>
      <c r="F17" s="4" t="s">
        <v>48</v>
      </c>
    </row>
    <row r="18" spans="1:10" x14ac:dyDescent="0.3">
      <c r="A18" s="7">
        <v>1</v>
      </c>
      <c r="B18" s="14">
        <v>2</v>
      </c>
      <c r="C18" s="13" t="s">
        <v>80</v>
      </c>
      <c r="D18" s="8" t="s">
        <v>29</v>
      </c>
      <c r="E18" s="4" t="s">
        <v>42</v>
      </c>
      <c r="F18" s="4" t="s">
        <v>94</v>
      </c>
    </row>
    <row r="19" spans="1:10" x14ac:dyDescent="0.3">
      <c r="A19" s="7">
        <v>1</v>
      </c>
      <c r="B19" s="7">
        <v>1</v>
      </c>
      <c r="C19" s="7" t="s">
        <v>81</v>
      </c>
      <c r="D19" s="4" t="s">
        <v>0</v>
      </c>
      <c r="E19" s="4" t="s">
        <v>41</v>
      </c>
      <c r="F19" s="4" t="s">
        <v>49</v>
      </c>
    </row>
    <row r="20" spans="1:10" x14ac:dyDescent="0.3">
      <c r="A20" s="7">
        <v>1</v>
      </c>
      <c r="B20" s="7">
        <v>1</v>
      </c>
      <c r="C20" s="12" t="s">
        <v>81</v>
      </c>
      <c r="D20" s="4" t="s">
        <v>40</v>
      </c>
      <c r="E20" s="4" t="s">
        <v>9</v>
      </c>
      <c r="F20" s="4" t="s">
        <v>49</v>
      </c>
    </row>
    <row r="21" spans="1:10" x14ac:dyDescent="0.3">
      <c r="A21" s="7">
        <v>1</v>
      </c>
      <c r="B21" s="14">
        <v>2</v>
      </c>
      <c r="C21" s="14" t="s">
        <v>80</v>
      </c>
      <c r="D21" s="8" t="s">
        <v>29</v>
      </c>
      <c r="E21" s="4" t="s">
        <v>42</v>
      </c>
      <c r="F21" s="4" t="s">
        <v>69</v>
      </c>
    </row>
    <row r="22" spans="1:10" x14ac:dyDescent="0.3">
      <c r="A22" s="7">
        <v>1</v>
      </c>
      <c r="B22" s="7">
        <v>1</v>
      </c>
      <c r="C22" s="12" t="s">
        <v>81</v>
      </c>
      <c r="D22" s="4" t="s">
        <v>0</v>
      </c>
      <c r="E22" s="4" t="s">
        <v>41</v>
      </c>
      <c r="F22" s="4" t="s">
        <v>50</v>
      </c>
    </row>
    <row r="23" spans="1:10" x14ac:dyDescent="0.3">
      <c r="A23" s="7">
        <v>1</v>
      </c>
      <c r="B23" s="7">
        <v>2</v>
      </c>
      <c r="C23" s="7" t="s">
        <v>80</v>
      </c>
      <c r="D23" s="4" t="s">
        <v>40</v>
      </c>
      <c r="E23" s="4" t="s">
        <v>10</v>
      </c>
      <c r="F23" s="4" t="s">
        <v>50</v>
      </c>
    </row>
    <row r="24" spans="1:10" x14ac:dyDescent="0.3">
      <c r="A24" s="7">
        <v>1</v>
      </c>
      <c r="B24" s="14">
        <v>1</v>
      </c>
      <c r="C24" s="13" t="s">
        <v>81</v>
      </c>
      <c r="D24" s="8" t="s">
        <v>29</v>
      </c>
      <c r="E24" s="4" t="s">
        <v>42</v>
      </c>
      <c r="F24" s="4" t="s">
        <v>68</v>
      </c>
    </row>
    <row r="25" spans="1:10" x14ac:dyDescent="0.3">
      <c r="A25" s="7">
        <v>1</v>
      </c>
      <c r="B25" s="14">
        <v>1</v>
      </c>
      <c r="C25" s="14" t="s">
        <v>81</v>
      </c>
      <c r="D25" s="8" t="s">
        <v>29</v>
      </c>
      <c r="E25" s="4" t="s">
        <v>42</v>
      </c>
      <c r="F25" s="4" t="s">
        <v>67</v>
      </c>
    </row>
    <row r="26" spans="1:10" x14ac:dyDescent="0.3">
      <c r="A26" s="7">
        <v>1</v>
      </c>
      <c r="B26" s="4">
        <v>2</v>
      </c>
      <c r="C26" s="22" t="s">
        <v>80</v>
      </c>
      <c r="D26" s="4" t="s">
        <v>0</v>
      </c>
      <c r="E26" s="4" t="s">
        <v>41</v>
      </c>
      <c r="F26" s="4" t="s">
        <v>46</v>
      </c>
    </row>
    <row r="27" spans="1:10" x14ac:dyDescent="0.3">
      <c r="A27" s="7">
        <v>1</v>
      </c>
      <c r="B27" s="4">
        <v>2</v>
      </c>
      <c r="C27" s="22" t="s">
        <v>80</v>
      </c>
      <c r="D27" s="4" t="s">
        <v>40</v>
      </c>
      <c r="E27" s="4" t="s">
        <v>9</v>
      </c>
      <c r="F27" s="4" t="s">
        <v>46</v>
      </c>
    </row>
    <row r="28" spans="1:10" x14ac:dyDescent="0.3">
      <c r="A28" s="7">
        <v>1</v>
      </c>
      <c r="B28" s="4">
        <v>2</v>
      </c>
      <c r="C28" s="22" t="s">
        <v>80</v>
      </c>
      <c r="D28" s="4" t="s">
        <v>0</v>
      </c>
      <c r="E28" s="4" t="s">
        <v>41</v>
      </c>
      <c r="F28" s="4" t="s">
        <v>45</v>
      </c>
    </row>
    <row r="29" spans="1:10" x14ac:dyDescent="0.3">
      <c r="A29" s="7">
        <v>1</v>
      </c>
      <c r="B29" s="4">
        <v>2</v>
      </c>
      <c r="C29" s="22" t="s">
        <v>80</v>
      </c>
      <c r="D29" s="4" t="s">
        <v>40</v>
      </c>
      <c r="E29" s="4" t="s">
        <v>9</v>
      </c>
      <c r="F29" s="4" t="s">
        <v>45</v>
      </c>
    </row>
    <row r="30" spans="1:10" x14ac:dyDescent="0.3">
      <c r="A30" s="7">
        <v>1</v>
      </c>
      <c r="B30" s="14">
        <v>1</v>
      </c>
      <c r="C30" s="13" t="s">
        <v>81</v>
      </c>
      <c r="D30" s="8" t="s">
        <v>29</v>
      </c>
      <c r="E30" s="4" t="s">
        <v>42</v>
      </c>
      <c r="F30" s="4" t="s">
        <v>72</v>
      </c>
    </row>
    <row r="31" spans="1:10" x14ac:dyDescent="0.3">
      <c r="A31" s="7">
        <v>1</v>
      </c>
      <c r="B31" s="14">
        <v>1</v>
      </c>
      <c r="C31" s="14" t="s">
        <v>81</v>
      </c>
      <c r="D31" s="8" t="s">
        <v>29</v>
      </c>
      <c r="E31" s="4" t="s">
        <v>42</v>
      </c>
      <c r="F31" s="4" t="s">
        <v>67</v>
      </c>
      <c r="J31" s="2"/>
    </row>
    <row r="32" spans="1:10" x14ac:dyDescent="0.3">
      <c r="A32" s="7">
        <v>1</v>
      </c>
      <c r="B32" s="4">
        <v>2</v>
      </c>
      <c r="C32" s="15" t="s">
        <v>80</v>
      </c>
      <c r="D32" s="4" t="s">
        <v>0</v>
      </c>
      <c r="E32" s="4" t="s">
        <v>41</v>
      </c>
      <c r="F32" s="4" t="s">
        <v>48</v>
      </c>
      <c r="J32" s="2"/>
    </row>
    <row r="33" spans="1:11" x14ac:dyDescent="0.3">
      <c r="A33" s="7">
        <v>1</v>
      </c>
      <c r="B33" s="4">
        <v>1</v>
      </c>
      <c r="C33" s="4" t="s">
        <v>81</v>
      </c>
      <c r="D33" s="4" t="s">
        <v>40</v>
      </c>
      <c r="E33" s="4" t="s">
        <v>10</v>
      </c>
      <c r="F33" s="4" t="s">
        <v>48</v>
      </c>
      <c r="J33" s="2"/>
    </row>
    <row r="34" spans="1:11" x14ac:dyDescent="0.3">
      <c r="A34" s="7">
        <v>1</v>
      </c>
      <c r="B34" s="14">
        <v>2</v>
      </c>
      <c r="C34" s="13" t="s">
        <v>80</v>
      </c>
      <c r="D34" s="8" t="s">
        <v>29</v>
      </c>
      <c r="E34" s="4" t="s">
        <v>42</v>
      </c>
      <c r="F34" s="4" t="s">
        <v>71</v>
      </c>
      <c r="J34" s="2"/>
    </row>
    <row r="35" spans="1:11" x14ac:dyDescent="0.3">
      <c r="A35" s="7">
        <v>1</v>
      </c>
      <c r="B35" s="4">
        <v>1</v>
      </c>
      <c r="C35" s="4" t="s">
        <v>81</v>
      </c>
      <c r="D35" s="4" t="s">
        <v>0</v>
      </c>
      <c r="E35" s="4" t="s">
        <v>41</v>
      </c>
      <c r="F35" s="4" t="s">
        <v>44</v>
      </c>
      <c r="J35" s="2"/>
    </row>
    <row r="36" spans="1:11" x14ac:dyDescent="0.3">
      <c r="A36" s="7">
        <v>1</v>
      </c>
      <c r="B36" s="4">
        <v>2</v>
      </c>
      <c r="C36" s="15" t="s">
        <v>80</v>
      </c>
      <c r="D36" s="4" t="s">
        <v>40</v>
      </c>
      <c r="E36" s="4" t="s">
        <v>10</v>
      </c>
      <c r="F36" s="4" t="s">
        <v>44</v>
      </c>
      <c r="J36" s="2"/>
      <c r="K36" s="2"/>
    </row>
    <row r="37" spans="1:11" x14ac:dyDescent="0.3">
      <c r="A37" s="7">
        <v>1</v>
      </c>
      <c r="B37" s="4">
        <v>2</v>
      </c>
      <c r="C37" s="4" t="s">
        <v>80</v>
      </c>
      <c r="D37" s="4" t="s">
        <v>0</v>
      </c>
      <c r="E37" s="4" t="s">
        <v>41</v>
      </c>
      <c r="F37" s="4" t="s">
        <v>43</v>
      </c>
      <c r="J37" s="2"/>
      <c r="K37" s="2"/>
    </row>
    <row r="38" spans="1:11" x14ac:dyDescent="0.3">
      <c r="A38" s="7">
        <v>1</v>
      </c>
      <c r="B38" s="4">
        <v>1</v>
      </c>
      <c r="C38" s="15" t="s">
        <v>81</v>
      </c>
      <c r="D38" s="4" t="s">
        <v>40</v>
      </c>
      <c r="E38" s="4" t="s">
        <v>10</v>
      </c>
      <c r="F38" s="4" t="s">
        <v>43</v>
      </c>
      <c r="J38" s="2"/>
      <c r="K38" s="2"/>
    </row>
    <row r="39" spans="1:11" x14ac:dyDescent="0.3">
      <c r="A39" s="7">
        <v>1</v>
      </c>
      <c r="B39" s="14">
        <v>2</v>
      </c>
      <c r="C39" s="14" t="s">
        <v>80</v>
      </c>
      <c r="D39" s="8" t="s">
        <v>29</v>
      </c>
      <c r="E39" s="4" t="s">
        <v>42</v>
      </c>
      <c r="F39" s="4" t="s">
        <v>73</v>
      </c>
      <c r="J39" s="2"/>
      <c r="K39" s="2"/>
    </row>
    <row r="40" spans="1:11" x14ac:dyDescent="0.3">
      <c r="A40" s="7">
        <v>1</v>
      </c>
      <c r="B40" s="4">
        <v>1</v>
      </c>
      <c r="C40" s="15" t="s">
        <v>81</v>
      </c>
      <c r="D40" s="4" t="s">
        <v>0</v>
      </c>
      <c r="E40" s="4" t="s">
        <v>41</v>
      </c>
      <c r="F40" s="4" t="s">
        <v>50</v>
      </c>
      <c r="J40" s="2"/>
      <c r="K40" s="2"/>
    </row>
    <row r="41" spans="1:11" x14ac:dyDescent="0.3">
      <c r="A41" s="7">
        <v>1</v>
      </c>
      <c r="B41" s="4">
        <v>1</v>
      </c>
      <c r="C41" s="15" t="s">
        <v>81</v>
      </c>
      <c r="D41" s="4" t="s">
        <v>40</v>
      </c>
      <c r="E41" s="4" t="s">
        <v>9</v>
      </c>
      <c r="F41" s="4" t="s">
        <v>50</v>
      </c>
      <c r="J41" s="2"/>
      <c r="K41" s="2"/>
    </row>
    <row r="42" spans="1:11" x14ac:dyDescent="0.3">
      <c r="A42" s="7">
        <v>1</v>
      </c>
      <c r="B42" s="14">
        <v>2</v>
      </c>
      <c r="C42" s="13" t="s">
        <v>80</v>
      </c>
      <c r="D42" s="8" t="s">
        <v>29</v>
      </c>
      <c r="E42" s="4" t="s">
        <v>42</v>
      </c>
      <c r="F42" s="4" t="s">
        <v>68</v>
      </c>
      <c r="J42" s="2"/>
      <c r="K42" s="2"/>
    </row>
    <row r="43" spans="1:11" x14ac:dyDescent="0.3">
      <c r="A43" s="7">
        <v>1</v>
      </c>
      <c r="B43" s="4">
        <v>1</v>
      </c>
      <c r="C43" s="4" t="s">
        <v>81</v>
      </c>
      <c r="D43" s="4" t="s">
        <v>0</v>
      </c>
      <c r="E43" s="4" t="s">
        <v>41</v>
      </c>
      <c r="F43" s="4" t="s">
        <v>47</v>
      </c>
      <c r="J43" s="2"/>
      <c r="K43" s="2"/>
    </row>
    <row r="44" spans="1:11" x14ac:dyDescent="0.3">
      <c r="A44" s="7">
        <v>1</v>
      </c>
      <c r="B44" s="4">
        <v>1</v>
      </c>
      <c r="C44" s="4" t="s">
        <v>81</v>
      </c>
      <c r="D44" s="4" t="s">
        <v>40</v>
      </c>
      <c r="E44" s="4" t="s">
        <v>9</v>
      </c>
      <c r="F44" s="4" t="s">
        <v>47</v>
      </c>
      <c r="J44" s="2"/>
      <c r="K44" s="2"/>
    </row>
    <row r="45" spans="1:11" x14ac:dyDescent="0.3">
      <c r="A45" s="7">
        <v>1</v>
      </c>
      <c r="B45" s="14">
        <v>1</v>
      </c>
      <c r="C45" s="14" t="s">
        <v>81</v>
      </c>
      <c r="D45" s="8" t="s">
        <v>29</v>
      </c>
      <c r="E45" s="4" t="s">
        <v>42</v>
      </c>
      <c r="F45" s="4" t="s">
        <v>74</v>
      </c>
      <c r="J45" s="2"/>
      <c r="K45" s="2"/>
    </row>
    <row r="46" spans="1:11" x14ac:dyDescent="0.3">
      <c r="A46" s="7">
        <v>1</v>
      </c>
      <c r="B46" s="14">
        <v>2</v>
      </c>
      <c r="C46" s="13" t="s">
        <v>80</v>
      </c>
      <c r="D46" s="8" t="s">
        <v>29</v>
      </c>
      <c r="E46" s="4" t="s">
        <v>42</v>
      </c>
      <c r="F46" s="4" t="s">
        <v>69</v>
      </c>
      <c r="J46" s="2"/>
      <c r="K46" s="2"/>
    </row>
    <row r="47" spans="1:11" x14ac:dyDescent="0.3">
      <c r="A47" s="7">
        <v>1</v>
      </c>
      <c r="B47" s="4">
        <v>1</v>
      </c>
      <c r="C47" s="4" t="s">
        <v>81</v>
      </c>
      <c r="D47" s="4" t="s">
        <v>0</v>
      </c>
      <c r="E47" s="4" t="s">
        <v>41</v>
      </c>
      <c r="F47" s="4" t="s">
        <v>49</v>
      </c>
      <c r="J47" s="2"/>
      <c r="K47" s="2"/>
    </row>
    <row r="48" spans="1:11" x14ac:dyDescent="0.3">
      <c r="A48" s="7">
        <v>1</v>
      </c>
      <c r="B48" s="4">
        <v>2</v>
      </c>
      <c r="C48" s="15" t="s">
        <v>80</v>
      </c>
      <c r="D48" s="4" t="s">
        <v>40</v>
      </c>
      <c r="E48" s="4" t="s">
        <v>10</v>
      </c>
      <c r="F48" s="4" t="s">
        <v>49</v>
      </c>
      <c r="J48" s="2"/>
      <c r="K48" s="2"/>
    </row>
    <row r="49" spans="1:11" x14ac:dyDescent="0.3">
      <c r="A49" s="7">
        <v>1</v>
      </c>
      <c r="B49" s="14">
        <v>1</v>
      </c>
      <c r="C49" s="14" t="s">
        <v>81</v>
      </c>
      <c r="D49" s="8" t="s">
        <v>29</v>
      </c>
      <c r="E49" s="4" t="s">
        <v>42</v>
      </c>
      <c r="F49" s="4" t="s">
        <v>70</v>
      </c>
      <c r="J49" s="2"/>
      <c r="K49" s="2"/>
    </row>
    <row r="50" spans="1:11" x14ac:dyDescent="0.3">
      <c r="A50" s="7">
        <v>1</v>
      </c>
      <c r="B50" s="14">
        <v>2</v>
      </c>
      <c r="C50" s="13" t="s">
        <v>80</v>
      </c>
      <c r="D50" s="8" t="s">
        <v>29</v>
      </c>
      <c r="E50" s="4" t="s">
        <v>42</v>
      </c>
      <c r="F50" s="4" t="s">
        <v>71</v>
      </c>
      <c r="J50" s="2"/>
      <c r="K50" s="2"/>
    </row>
    <row r="51" spans="1:11" x14ac:dyDescent="0.3">
      <c r="A51" s="7">
        <v>1</v>
      </c>
      <c r="B51" s="7">
        <v>2</v>
      </c>
      <c r="C51" s="7" t="s">
        <v>80</v>
      </c>
      <c r="D51" s="4" t="s">
        <v>0</v>
      </c>
      <c r="E51" s="4" t="s">
        <v>41</v>
      </c>
      <c r="F51" s="4" t="s">
        <v>49</v>
      </c>
      <c r="J51" s="2"/>
      <c r="K51" s="2"/>
    </row>
    <row r="52" spans="1:11" x14ac:dyDescent="0.3">
      <c r="A52" s="7">
        <v>1</v>
      </c>
      <c r="B52" s="7">
        <v>2</v>
      </c>
      <c r="C52" s="7" t="s">
        <v>80</v>
      </c>
      <c r="D52" s="4" t="s">
        <v>40</v>
      </c>
      <c r="E52" s="4" t="s">
        <v>9</v>
      </c>
      <c r="F52" s="4" t="s">
        <v>49</v>
      </c>
      <c r="K52" s="2"/>
    </row>
    <row r="53" spans="1:11" x14ac:dyDescent="0.3">
      <c r="A53" s="7">
        <v>1</v>
      </c>
      <c r="B53" s="14">
        <v>1</v>
      </c>
      <c r="C53" s="14" t="s">
        <v>81</v>
      </c>
      <c r="D53" s="8" t="s">
        <v>29</v>
      </c>
      <c r="E53" s="4" t="s">
        <v>42</v>
      </c>
      <c r="F53" s="4" t="s">
        <v>69</v>
      </c>
      <c r="K53" s="2"/>
    </row>
    <row r="54" spans="1:11" x14ac:dyDescent="0.3">
      <c r="A54" s="7">
        <v>1</v>
      </c>
      <c r="B54" s="14">
        <v>1</v>
      </c>
      <c r="C54" s="14" t="s">
        <v>81</v>
      </c>
      <c r="D54" s="8" t="s">
        <v>29</v>
      </c>
      <c r="E54" s="4" t="s">
        <v>42</v>
      </c>
      <c r="F54" s="4" t="s">
        <v>73</v>
      </c>
      <c r="K54" s="2"/>
    </row>
    <row r="55" spans="1:11" x14ac:dyDescent="0.3">
      <c r="A55" s="7">
        <v>1</v>
      </c>
      <c r="B55" s="7">
        <v>2</v>
      </c>
      <c r="C55" s="7" t="s">
        <v>80</v>
      </c>
      <c r="D55" s="4" t="s">
        <v>0</v>
      </c>
      <c r="E55" s="4" t="s">
        <v>41</v>
      </c>
      <c r="F55" s="4" t="s">
        <v>48</v>
      </c>
      <c r="K55" s="2"/>
    </row>
    <row r="56" spans="1:11" x14ac:dyDescent="0.3">
      <c r="A56" s="7">
        <v>1</v>
      </c>
      <c r="B56" s="7">
        <v>2</v>
      </c>
      <c r="C56" s="7" t="s">
        <v>80</v>
      </c>
      <c r="D56" s="4" t="s">
        <v>40</v>
      </c>
      <c r="E56" s="4" t="s">
        <v>9</v>
      </c>
      <c r="F56" s="4" t="s">
        <v>48</v>
      </c>
      <c r="K56" s="2"/>
    </row>
    <row r="57" spans="1:11" x14ac:dyDescent="0.3">
      <c r="A57" s="7">
        <v>1</v>
      </c>
      <c r="B57" s="7">
        <v>2</v>
      </c>
      <c r="C57" s="7" t="s">
        <v>80</v>
      </c>
      <c r="D57" s="4" t="s">
        <v>0</v>
      </c>
      <c r="E57" s="4" t="s">
        <v>41</v>
      </c>
      <c r="F57" s="4" t="s">
        <v>50</v>
      </c>
      <c r="K57" s="2"/>
    </row>
    <row r="58" spans="1:11" x14ac:dyDescent="0.3">
      <c r="A58" s="7">
        <v>1</v>
      </c>
      <c r="B58" s="7">
        <v>1</v>
      </c>
      <c r="C58" s="12" t="s">
        <v>81</v>
      </c>
      <c r="D58" s="4" t="s">
        <v>40</v>
      </c>
      <c r="E58" s="4" t="s">
        <v>10</v>
      </c>
      <c r="F58" s="4" t="s">
        <v>50</v>
      </c>
      <c r="K58" s="2"/>
    </row>
    <row r="59" spans="1:11" x14ac:dyDescent="0.3">
      <c r="A59" s="7">
        <v>1</v>
      </c>
      <c r="B59" s="14">
        <v>2</v>
      </c>
      <c r="C59" s="14" t="s">
        <v>80</v>
      </c>
      <c r="D59" s="8" t="s">
        <v>29</v>
      </c>
      <c r="E59" s="4" t="s">
        <v>42</v>
      </c>
      <c r="F59" s="4" t="s">
        <v>70</v>
      </c>
      <c r="K59" s="2"/>
    </row>
    <row r="60" spans="1:11" x14ac:dyDescent="0.3">
      <c r="A60" s="7">
        <v>1</v>
      </c>
      <c r="B60" s="7">
        <v>1</v>
      </c>
      <c r="C60" s="12" t="s">
        <v>81</v>
      </c>
      <c r="D60" s="4" t="s">
        <v>0</v>
      </c>
      <c r="E60" s="4" t="s">
        <v>41</v>
      </c>
      <c r="F60" s="4" t="s">
        <v>43</v>
      </c>
      <c r="K60" s="2"/>
    </row>
    <row r="61" spans="1:11" x14ac:dyDescent="0.3">
      <c r="A61" s="7">
        <v>1</v>
      </c>
      <c r="B61" s="7">
        <v>2</v>
      </c>
      <c r="C61" s="7" t="s">
        <v>80</v>
      </c>
      <c r="D61" s="4" t="s">
        <v>40</v>
      </c>
      <c r="E61" s="4" t="s">
        <v>10</v>
      </c>
      <c r="F61" s="4" t="s">
        <v>43</v>
      </c>
      <c r="K61" s="2"/>
    </row>
    <row r="62" spans="1:11" x14ac:dyDescent="0.3">
      <c r="A62" s="7">
        <v>1</v>
      </c>
      <c r="B62" s="7">
        <v>2</v>
      </c>
      <c r="C62" s="12" t="s">
        <v>80</v>
      </c>
      <c r="D62" s="4" t="s">
        <v>0</v>
      </c>
      <c r="E62" s="4" t="s">
        <v>41</v>
      </c>
      <c r="F62" s="4" t="s">
        <v>46</v>
      </c>
      <c r="K62" s="2"/>
    </row>
    <row r="63" spans="1:11" x14ac:dyDescent="0.3">
      <c r="A63" s="7">
        <v>1</v>
      </c>
      <c r="B63" s="7">
        <v>1</v>
      </c>
      <c r="C63" s="7" t="s">
        <v>81</v>
      </c>
      <c r="D63" s="4" t="s">
        <v>40</v>
      </c>
      <c r="E63" s="4" t="s">
        <v>10</v>
      </c>
      <c r="F63" s="4" t="s">
        <v>46</v>
      </c>
      <c r="K63" s="2"/>
    </row>
    <row r="64" spans="1:11" x14ac:dyDescent="0.3">
      <c r="A64" s="7">
        <v>1</v>
      </c>
      <c r="B64" s="14">
        <v>1</v>
      </c>
      <c r="C64" s="13" t="s">
        <v>81</v>
      </c>
      <c r="D64" s="8" t="s">
        <v>29</v>
      </c>
      <c r="E64" s="4" t="s">
        <v>42</v>
      </c>
      <c r="F64" s="4" t="s">
        <v>74</v>
      </c>
      <c r="K64" s="2"/>
    </row>
    <row r="65" spans="1:11" x14ac:dyDescent="0.3">
      <c r="A65" s="7">
        <v>1</v>
      </c>
      <c r="B65" s="14">
        <v>2</v>
      </c>
      <c r="C65" s="14" t="s">
        <v>80</v>
      </c>
      <c r="D65" s="8" t="s">
        <v>29</v>
      </c>
      <c r="E65" s="4" t="s">
        <v>42</v>
      </c>
      <c r="F65" s="4" t="s">
        <v>67</v>
      </c>
      <c r="K65" s="2"/>
    </row>
    <row r="66" spans="1:11" x14ac:dyDescent="0.3">
      <c r="A66" s="7">
        <v>1</v>
      </c>
      <c r="B66" s="7">
        <v>1</v>
      </c>
      <c r="C66" s="12" t="s">
        <v>81</v>
      </c>
      <c r="D66" s="4" t="s">
        <v>0</v>
      </c>
      <c r="E66" s="4" t="s">
        <v>41</v>
      </c>
      <c r="F66" s="4" t="s">
        <v>44</v>
      </c>
      <c r="K66" s="2"/>
    </row>
    <row r="67" spans="1:11" x14ac:dyDescent="0.3">
      <c r="A67" s="7">
        <v>1</v>
      </c>
      <c r="B67" s="7">
        <v>1</v>
      </c>
      <c r="C67" s="12" t="s">
        <v>81</v>
      </c>
      <c r="D67" s="4" t="s">
        <v>40</v>
      </c>
      <c r="E67" s="4" t="s">
        <v>9</v>
      </c>
      <c r="F67" s="4" t="s">
        <v>44</v>
      </c>
    </row>
    <row r="68" spans="1:11" x14ac:dyDescent="0.3">
      <c r="A68" s="7">
        <v>1</v>
      </c>
      <c r="B68" s="14">
        <v>1</v>
      </c>
      <c r="C68" s="13" t="s">
        <v>81</v>
      </c>
      <c r="D68" s="8" t="s">
        <v>29</v>
      </c>
      <c r="E68" s="4" t="s">
        <v>42</v>
      </c>
      <c r="F68" s="4" t="s">
        <v>72</v>
      </c>
    </row>
    <row r="69" spans="1:11" x14ac:dyDescent="0.3">
      <c r="A69" s="7">
        <v>1</v>
      </c>
      <c r="B69" s="14">
        <v>2</v>
      </c>
      <c r="C69" s="14" t="s">
        <v>80</v>
      </c>
      <c r="D69" s="8" t="s">
        <v>29</v>
      </c>
      <c r="E69" s="4" t="s">
        <v>42</v>
      </c>
      <c r="F69" s="4" t="s">
        <v>68</v>
      </c>
    </row>
    <row r="70" spans="1:11" x14ac:dyDescent="0.3">
      <c r="A70" s="7">
        <v>1</v>
      </c>
      <c r="B70" s="7">
        <v>1</v>
      </c>
      <c r="C70" s="12" t="s">
        <v>81</v>
      </c>
      <c r="D70" s="4" t="s">
        <v>0</v>
      </c>
      <c r="E70" s="4" t="s">
        <v>41</v>
      </c>
      <c r="F70" s="4" t="s">
        <v>45</v>
      </c>
    </row>
    <row r="71" spans="1:11" x14ac:dyDescent="0.3">
      <c r="A71" s="7">
        <v>1</v>
      </c>
      <c r="B71" s="7">
        <v>1</v>
      </c>
      <c r="C71" s="12" t="s">
        <v>81</v>
      </c>
      <c r="D71" s="4" t="s">
        <v>40</v>
      </c>
      <c r="E71" s="4" t="s">
        <v>9</v>
      </c>
      <c r="F71" s="4" t="s">
        <v>45</v>
      </c>
    </row>
    <row r="72" spans="1:11" x14ac:dyDescent="0.3">
      <c r="A72" s="7">
        <v>1</v>
      </c>
      <c r="B72" s="7">
        <v>1</v>
      </c>
      <c r="C72" s="12" t="s">
        <v>81</v>
      </c>
      <c r="D72" s="4" t="s">
        <v>0</v>
      </c>
      <c r="E72" s="4" t="s">
        <v>41</v>
      </c>
      <c r="F72" s="4" t="s">
        <v>47</v>
      </c>
    </row>
    <row r="73" spans="1:11" x14ac:dyDescent="0.3">
      <c r="A73" s="7">
        <v>1</v>
      </c>
      <c r="B73" s="7">
        <v>2</v>
      </c>
      <c r="C73" s="23" t="s">
        <v>80</v>
      </c>
      <c r="D73" s="4" t="s">
        <v>40</v>
      </c>
      <c r="E73" s="4" t="s">
        <v>10</v>
      </c>
      <c r="F73" s="4" t="s">
        <v>47</v>
      </c>
    </row>
    <row r="74" spans="1:11" x14ac:dyDescent="0.3">
      <c r="A74" s="7">
        <v>1</v>
      </c>
      <c r="B74" s="14">
        <v>2</v>
      </c>
      <c r="C74" s="24" t="s">
        <v>80</v>
      </c>
      <c r="D74" s="8" t="s">
        <v>29</v>
      </c>
      <c r="E74" s="4" t="s">
        <v>42</v>
      </c>
      <c r="F74" s="4" t="s">
        <v>69</v>
      </c>
    </row>
    <row r="75" spans="1:11" x14ac:dyDescent="0.3">
      <c r="A75" s="7">
        <v>1</v>
      </c>
      <c r="B75" s="4">
        <v>2</v>
      </c>
      <c r="C75" s="25" t="s">
        <v>80</v>
      </c>
      <c r="D75" s="4" t="s">
        <v>0</v>
      </c>
      <c r="E75" s="4" t="s">
        <v>41</v>
      </c>
      <c r="F75" s="4" t="s">
        <v>47</v>
      </c>
    </row>
    <row r="76" spans="1:11" x14ac:dyDescent="0.3">
      <c r="A76" s="7">
        <v>1</v>
      </c>
      <c r="B76" s="4">
        <v>2</v>
      </c>
      <c r="C76" s="22" t="s">
        <v>80</v>
      </c>
      <c r="D76" s="4" t="s">
        <v>40</v>
      </c>
      <c r="E76" s="4" t="s">
        <v>9</v>
      </c>
      <c r="F76" s="4" t="s">
        <v>47</v>
      </c>
      <c r="K76" s="2"/>
    </row>
    <row r="77" spans="1:11" x14ac:dyDescent="0.3">
      <c r="A77" s="7">
        <v>1</v>
      </c>
      <c r="B77" s="14">
        <v>1</v>
      </c>
      <c r="C77" s="14" t="s">
        <v>81</v>
      </c>
      <c r="D77" s="8" t="s">
        <v>29</v>
      </c>
      <c r="E77" s="4" t="s">
        <v>42</v>
      </c>
      <c r="F77" s="4" t="s">
        <v>72</v>
      </c>
      <c r="K77" s="2"/>
    </row>
    <row r="78" spans="1:11" x14ac:dyDescent="0.3">
      <c r="A78" s="7">
        <v>1</v>
      </c>
      <c r="B78" s="14">
        <v>2</v>
      </c>
      <c r="C78" s="13" t="s">
        <v>80</v>
      </c>
      <c r="D78" s="8" t="s">
        <v>29</v>
      </c>
      <c r="E78" s="4" t="s">
        <v>42</v>
      </c>
      <c r="F78" s="4" t="s">
        <v>70</v>
      </c>
      <c r="K78" s="2"/>
    </row>
    <row r="79" spans="1:11" x14ac:dyDescent="0.3">
      <c r="A79" s="7">
        <v>1</v>
      </c>
      <c r="B79" s="14">
        <v>1</v>
      </c>
      <c r="C79" s="14" t="s">
        <v>81</v>
      </c>
      <c r="D79" s="8" t="s">
        <v>29</v>
      </c>
      <c r="E79" s="4" t="s">
        <v>42</v>
      </c>
      <c r="F79" s="4" t="s">
        <v>74</v>
      </c>
      <c r="K79" s="2"/>
    </row>
    <row r="80" spans="1:11" x14ac:dyDescent="0.3">
      <c r="A80" s="7">
        <v>1</v>
      </c>
      <c r="B80" s="4">
        <v>2</v>
      </c>
      <c r="C80" s="15" t="s">
        <v>80</v>
      </c>
      <c r="D80" s="4" t="s">
        <v>0</v>
      </c>
      <c r="E80" s="4" t="s">
        <v>41</v>
      </c>
      <c r="F80" s="4" t="s">
        <v>50</v>
      </c>
      <c r="J80" s="2"/>
      <c r="K80" s="2"/>
    </row>
    <row r="81" spans="1:11" x14ac:dyDescent="0.3">
      <c r="A81" s="7">
        <v>1</v>
      </c>
      <c r="B81" s="4">
        <v>2</v>
      </c>
      <c r="C81" s="15" t="s">
        <v>80</v>
      </c>
      <c r="D81" s="4" t="s">
        <v>40</v>
      </c>
      <c r="E81" s="4" t="s">
        <v>9</v>
      </c>
      <c r="F81" s="4" t="s">
        <v>50</v>
      </c>
      <c r="J81" s="2"/>
      <c r="K81" s="2"/>
    </row>
    <row r="82" spans="1:11" x14ac:dyDescent="0.3">
      <c r="A82" s="7">
        <v>1</v>
      </c>
      <c r="B82" s="4">
        <v>2</v>
      </c>
      <c r="C82" s="15" t="s">
        <v>80</v>
      </c>
      <c r="D82" s="4" t="s">
        <v>0</v>
      </c>
      <c r="E82" s="4" t="s">
        <v>41</v>
      </c>
      <c r="F82" s="4" t="s">
        <v>49</v>
      </c>
      <c r="J82" s="2"/>
      <c r="K82" s="2"/>
    </row>
    <row r="83" spans="1:11" x14ac:dyDescent="0.3">
      <c r="A83" s="7">
        <v>1</v>
      </c>
      <c r="B83" s="4">
        <v>1</v>
      </c>
      <c r="C83" s="4" t="s">
        <v>81</v>
      </c>
      <c r="D83" s="4" t="s">
        <v>40</v>
      </c>
      <c r="E83" s="4" t="s">
        <v>10</v>
      </c>
      <c r="F83" s="4" t="s">
        <v>49</v>
      </c>
      <c r="J83" s="2"/>
      <c r="K83" s="2"/>
    </row>
    <row r="84" spans="1:11" x14ac:dyDescent="0.3">
      <c r="A84" s="7">
        <v>1</v>
      </c>
      <c r="B84" s="14">
        <v>1</v>
      </c>
      <c r="C84" s="13" t="s">
        <v>81</v>
      </c>
      <c r="D84" s="8" t="s">
        <v>29</v>
      </c>
      <c r="E84" s="4" t="s">
        <v>42</v>
      </c>
      <c r="F84" s="4" t="s">
        <v>71</v>
      </c>
      <c r="J84" s="2"/>
      <c r="K84" s="2"/>
    </row>
    <row r="85" spans="1:11" x14ac:dyDescent="0.3">
      <c r="A85" s="7">
        <v>1</v>
      </c>
      <c r="B85" s="4">
        <v>1</v>
      </c>
      <c r="C85" s="4" t="s">
        <v>81</v>
      </c>
      <c r="D85" s="4" t="s">
        <v>0</v>
      </c>
      <c r="E85" s="4" t="s">
        <v>41</v>
      </c>
      <c r="F85" s="4" t="s">
        <v>45</v>
      </c>
      <c r="J85" s="2"/>
      <c r="K85" s="2"/>
    </row>
    <row r="86" spans="1:11" x14ac:dyDescent="0.3">
      <c r="A86" s="7">
        <v>1</v>
      </c>
      <c r="B86" s="4">
        <v>2</v>
      </c>
      <c r="C86" s="15" t="s">
        <v>80</v>
      </c>
      <c r="D86" s="4" t="s">
        <v>40</v>
      </c>
      <c r="E86" s="4" t="s">
        <v>10</v>
      </c>
      <c r="F86" s="4" t="s">
        <v>45</v>
      </c>
      <c r="J86" s="2"/>
      <c r="K86" s="2"/>
    </row>
    <row r="87" spans="1:11" x14ac:dyDescent="0.3">
      <c r="A87" s="7">
        <v>1</v>
      </c>
      <c r="B87" s="4">
        <v>2</v>
      </c>
      <c r="C87" s="4" t="s">
        <v>80</v>
      </c>
      <c r="D87" s="4" t="s">
        <v>0</v>
      </c>
      <c r="E87" s="4" t="s">
        <v>41</v>
      </c>
      <c r="F87" s="4" t="s">
        <v>44</v>
      </c>
      <c r="J87" s="2"/>
      <c r="K87" s="2"/>
    </row>
    <row r="88" spans="1:11" x14ac:dyDescent="0.3">
      <c r="A88" s="7">
        <v>1</v>
      </c>
      <c r="B88" s="4">
        <v>1</v>
      </c>
      <c r="C88" s="15" t="s">
        <v>81</v>
      </c>
      <c r="D88" s="4" t="s">
        <v>40</v>
      </c>
      <c r="E88" s="4" t="s">
        <v>10</v>
      </c>
      <c r="F88" s="4" t="s">
        <v>44</v>
      </c>
      <c r="J88" s="2"/>
      <c r="K88" s="2"/>
    </row>
    <row r="89" spans="1:11" x14ac:dyDescent="0.3">
      <c r="A89" s="7">
        <v>1</v>
      </c>
      <c r="B89" s="14">
        <v>2</v>
      </c>
      <c r="C89" s="14" t="s">
        <v>80</v>
      </c>
      <c r="D89" s="8" t="s">
        <v>29</v>
      </c>
      <c r="E89" s="4" t="s">
        <v>42</v>
      </c>
      <c r="F89" s="4" t="s">
        <v>68</v>
      </c>
      <c r="J89" s="2"/>
      <c r="K89" s="2"/>
    </row>
    <row r="90" spans="1:11" x14ac:dyDescent="0.3">
      <c r="A90" s="7">
        <v>1</v>
      </c>
      <c r="B90" s="4">
        <v>1</v>
      </c>
      <c r="C90" s="15" t="s">
        <v>81</v>
      </c>
      <c r="D90" s="4" t="s">
        <v>0</v>
      </c>
      <c r="E90" s="4" t="s">
        <v>41</v>
      </c>
      <c r="F90" s="4" t="s">
        <v>46</v>
      </c>
      <c r="J90" s="2"/>
      <c r="K90" s="2"/>
    </row>
    <row r="91" spans="1:11" x14ac:dyDescent="0.3">
      <c r="A91" s="7">
        <v>1</v>
      </c>
      <c r="B91" s="4">
        <v>1</v>
      </c>
      <c r="C91" s="15" t="s">
        <v>81</v>
      </c>
      <c r="D91" s="4" t="s">
        <v>40</v>
      </c>
      <c r="E91" s="4" t="s">
        <v>9</v>
      </c>
      <c r="F91" s="4" t="s">
        <v>46</v>
      </c>
      <c r="J91" s="2"/>
      <c r="K91" s="2"/>
    </row>
    <row r="92" spans="1:11" x14ac:dyDescent="0.3">
      <c r="A92" s="7">
        <v>1</v>
      </c>
      <c r="B92" s="14">
        <v>1</v>
      </c>
      <c r="C92" s="13" t="s">
        <v>81</v>
      </c>
      <c r="D92" s="8" t="s">
        <v>29</v>
      </c>
      <c r="E92" s="4" t="s">
        <v>42</v>
      </c>
      <c r="F92" s="4" t="s">
        <v>67</v>
      </c>
      <c r="J92" s="2"/>
    </row>
    <row r="93" spans="1:11" x14ac:dyDescent="0.3">
      <c r="A93" s="7">
        <v>1</v>
      </c>
      <c r="B93" s="14">
        <v>2</v>
      </c>
      <c r="C93" s="14" t="s">
        <v>80</v>
      </c>
      <c r="D93" s="8" t="s">
        <v>29</v>
      </c>
      <c r="E93" s="4" t="s">
        <v>42</v>
      </c>
      <c r="F93" s="4" t="s">
        <v>73</v>
      </c>
      <c r="J93" s="2"/>
    </row>
    <row r="94" spans="1:11" x14ac:dyDescent="0.3">
      <c r="A94" s="7">
        <v>1</v>
      </c>
      <c r="B94" s="4">
        <v>1</v>
      </c>
      <c r="C94" s="15" t="s">
        <v>81</v>
      </c>
      <c r="D94" s="4" t="s">
        <v>0</v>
      </c>
      <c r="E94" s="4" t="s">
        <v>41</v>
      </c>
      <c r="F94" s="4" t="s">
        <v>43</v>
      </c>
      <c r="J94" s="2"/>
    </row>
    <row r="95" spans="1:11" x14ac:dyDescent="0.3">
      <c r="A95" s="7">
        <v>1</v>
      </c>
      <c r="B95" s="4">
        <v>1</v>
      </c>
      <c r="C95" s="15" t="s">
        <v>81</v>
      </c>
      <c r="D95" s="4" t="s">
        <v>40</v>
      </c>
      <c r="E95" s="4" t="s">
        <v>9</v>
      </c>
      <c r="F95" s="4" t="s">
        <v>43</v>
      </c>
      <c r="J95" s="2"/>
    </row>
    <row r="96" spans="1:11" x14ac:dyDescent="0.3">
      <c r="A96" s="7">
        <v>1</v>
      </c>
      <c r="B96" s="4">
        <v>1</v>
      </c>
      <c r="C96" s="15" t="s">
        <v>81</v>
      </c>
      <c r="D96" s="4" t="s">
        <v>0</v>
      </c>
      <c r="E96" s="4" t="s">
        <v>41</v>
      </c>
      <c r="F96" s="4" t="s">
        <v>48</v>
      </c>
    </row>
    <row r="97" spans="1:14" x14ac:dyDescent="0.3">
      <c r="A97" s="7">
        <v>1</v>
      </c>
      <c r="B97" s="4">
        <v>2</v>
      </c>
      <c r="C97" s="4" t="s">
        <v>80</v>
      </c>
      <c r="D97" s="4" t="s">
        <v>40</v>
      </c>
      <c r="E97" s="4" t="s">
        <v>10</v>
      </c>
      <c r="F97" s="4" t="s">
        <v>48</v>
      </c>
    </row>
    <row r="98" spans="1:14" x14ac:dyDescent="0.3">
      <c r="A98" s="4"/>
      <c r="B98" s="4" t="s">
        <v>25</v>
      </c>
      <c r="C98" s="4"/>
      <c r="D98" s="4"/>
      <c r="E98" s="4"/>
      <c r="F98" s="4"/>
      <c r="K98" s="2"/>
      <c r="L98" s="2"/>
      <c r="M98" s="2"/>
      <c r="N98" s="2"/>
    </row>
    <row r="99" spans="1:14" x14ac:dyDescent="0.3">
      <c r="A99" s="4">
        <v>2</v>
      </c>
      <c r="B99" s="9">
        <v>2</v>
      </c>
      <c r="C99" s="9" t="s">
        <v>80</v>
      </c>
      <c r="D99" s="9" t="s">
        <v>29</v>
      </c>
      <c r="E99" s="4" t="s">
        <v>42</v>
      </c>
      <c r="F99" s="4" t="s">
        <v>43</v>
      </c>
      <c r="H99" s="2"/>
    </row>
    <row r="100" spans="1:14" x14ac:dyDescent="0.3">
      <c r="A100" s="4">
        <v>2</v>
      </c>
      <c r="B100" s="7">
        <v>1</v>
      </c>
      <c r="C100" s="7" t="s">
        <v>81</v>
      </c>
      <c r="D100" s="4" t="s">
        <v>0</v>
      </c>
      <c r="E100" s="4" t="s">
        <v>41</v>
      </c>
      <c r="F100" s="4" t="s">
        <v>58</v>
      </c>
      <c r="H100" s="2"/>
    </row>
    <row r="101" spans="1:14" x14ac:dyDescent="0.3">
      <c r="A101" s="4">
        <v>2</v>
      </c>
      <c r="B101" s="7">
        <v>1</v>
      </c>
      <c r="C101" s="7" t="s">
        <v>81</v>
      </c>
      <c r="D101" s="4" t="s">
        <v>40</v>
      </c>
      <c r="E101" s="4" t="s">
        <v>9</v>
      </c>
      <c r="F101" s="4" t="s">
        <v>58</v>
      </c>
      <c r="H101" s="2"/>
    </row>
    <row r="102" spans="1:14" x14ac:dyDescent="0.3">
      <c r="A102" s="4">
        <v>2</v>
      </c>
      <c r="B102" s="9">
        <v>2</v>
      </c>
      <c r="C102" s="9" t="s">
        <v>80</v>
      </c>
      <c r="D102" s="9" t="s">
        <v>29</v>
      </c>
      <c r="E102" s="4" t="s">
        <v>42</v>
      </c>
      <c r="F102" s="4" t="s">
        <v>44</v>
      </c>
      <c r="H102" s="2"/>
    </row>
    <row r="103" spans="1:14" x14ac:dyDescent="0.3">
      <c r="A103" s="4">
        <v>2</v>
      </c>
      <c r="B103" s="9">
        <v>2</v>
      </c>
      <c r="C103" s="9" t="s">
        <v>80</v>
      </c>
      <c r="D103" s="9" t="s">
        <v>29</v>
      </c>
      <c r="E103" s="4" t="s">
        <v>42</v>
      </c>
      <c r="F103" s="4" t="s">
        <v>45</v>
      </c>
      <c r="H103" s="2"/>
    </row>
    <row r="104" spans="1:14" x14ac:dyDescent="0.3">
      <c r="A104" s="4">
        <v>2</v>
      </c>
      <c r="B104" s="7">
        <v>1</v>
      </c>
      <c r="C104" s="7" t="s">
        <v>81</v>
      </c>
      <c r="D104" s="4" t="s">
        <v>0</v>
      </c>
      <c r="E104" s="4" t="s">
        <v>41</v>
      </c>
      <c r="F104" s="4" t="s">
        <v>57</v>
      </c>
      <c r="H104" s="2"/>
    </row>
    <row r="105" spans="1:14" x14ac:dyDescent="0.3">
      <c r="A105" s="4">
        <v>2</v>
      </c>
      <c r="B105" s="7">
        <v>1</v>
      </c>
      <c r="C105" s="7" t="s">
        <v>81</v>
      </c>
      <c r="D105" s="4" t="s">
        <v>40</v>
      </c>
      <c r="E105" s="4" t="s">
        <v>9</v>
      </c>
      <c r="F105" s="4" t="s">
        <v>57</v>
      </c>
      <c r="H105" s="2"/>
    </row>
    <row r="106" spans="1:14" x14ac:dyDescent="0.3">
      <c r="A106" s="4">
        <v>2</v>
      </c>
      <c r="B106" s="7">
        <v>1</v>
      </c>
      <c r="C106" s="7" t="s">
        <v>81</v>
      </c>
      <c r="D106" s="4" t="s">
        <v>0</v>
      </c>
      <c r="E106" s="4" t="s">
        <v>41</v>
      </c>
      <c r="F106" s="4" t="s">
        <v>56</v>
      </c>
      <c r="H106" s="2"/>
    </row>
    <row r="107" spans="1:14" x14ac:dyDescent="0.3">
      <c r="A107" s="4">
        <v>2</v>
      </c>
      <c r="B107" s="7">
        <v>2</v>
      </c>
      <c r="C107" s="7" t="s">
        <v>80</v>
      </c>
      <c r="D107" s="4" t="s">
        <v>40</v>
      </c>
      <c r="E107" s="4" t="s">
        <v>10</v>
      </c>
      <c r="F107" s="4" t="s">
        <v>56</v>
      </c>
      <c r="H107" s="2"/>
    </row>
    <row r="108" spans="1:14" x14ac:dyDescent="0.3">
      <c r="A108" s="4">
        <v>2</v>
      </c>
      <c r="B108" s="7">
        <v>2</v>
      </c>
      <c r="C108" s="7" t="s">
        <v>80</v>
      </c>
      <c r="D108" s="4" t="s">
        <v>0</v>
      </c>
      <c r="E108" s="4" t="s">
        <v>41</v>
      </c>
      <c r="F108" s="4" t="s">
        <v>55</v>
      </c>
      <c r="H108" s="2"/>
    </row>
    <row r="109" spans="1:14" x14ac:dyDescent="0.3">
      <c r="A109" s="4">
        <v>2</v>
      </c>
      <c r="B109" s="7">
        <v>1</v>
      </c>
      <c r="C109" s="7" t="s">
        <v>81</v>
      </c>
      <c r="D109" s="4" t="s">
        <v>40</v>
      </c>
      <c r="E109" s="4" t="s">
        <v>10</v>
      </c>
      <c r="F109" s="4" t="s">
        <v>55</v>
      </c>
      <c r="H109" s="2"/>
    </row>
    <row r="110" spans="1:14" x14ac:dyDescent="0.3">
      <c r="A110" s="4">
        <v>2</v>
      </c>
      <c r="B110" s="7">
        <v>1</v>
      </c>
      <c r="C110" s="7" t="s">
        <v>81</v>
      </c>
      <c r="D110" s="4" t="s">
        <v>0</v>
      </c>
      <c r="E110" s="4" t="s">
        <v>41</v>
      </c>
      <c r="F110" s="4" t="s">
        <v>54</v>
      </c>
      <c r="H110" s="2"/>
    </row>
    <row r="111" spans="1:14" x14ac:dyDescent="0.3">
      <c r="A111" s="4">
        <v>2</v>
      </c>
      <c r="B111" s="7">
        <v>2</v>
      </c>
      <c r="C111" s="7" t="s">
        <v>80</v>
      </c>
      <c r="D111" s="4" t="s">
        <v>40</v>
      </c>
      <c r="E111" s="4" t="s">
        <v>10</v>
      </c>
      <c r="F111" s="4" t="s">
        <v>54</v>
      </c>
      <c r="H111" s="2"/>
    </row>
    <row r="112" spans="1:14" x14ac:dyDescent="0.3">
      <c r="A112" s="4">
        <v>2</v>
      </c>
      <c r="B112" s="9">
        <v>1</v>
      </c>
      <c r="C112" s="9" t="s">
        <v>81</v>
      </c>
      <c r="D112" s="9" t="s">
        <v>29</v>
      </c>
      <c r="E112" s="4" t="s">
        <v>42</v>
      </c>
      <c r="F112" s="4" t="s">
        <v>46</v>
      </c>
      <c r="H112" s="2"/>
    </row>
    <row r="113" spans="1:12" x14ac:dyDescent="0.3">
      <c r="A113" s="4">
        <v>2</v>
      </c>
      <c r="B113" s="9">
        <v>1</v>
      </c>
      <c r="C113" s="9" t="s">
        <v>81</v>
      </c>
      <c r="D113" s="9" t="s">
        <v>29</v>
      </c>
      <c r="E113" s="4" t="s">
        <v>42</v>
      </c>
      <c r="F113" s="4" t="s">
        <v>47</v>
      </c>
      <c r="H113" s="2"/>
    </row>
    <row r="114" spans="1:12" x14ac:dyDescent="0.3">
      <c r="A114" s="4">
        <v>2</v>
      </c>
      <c r="B114" s="7">
        <v>2</v>
      </c>
      <c r="C114" s="7" t="s">
        <v>80</v>
      </c>
      <c r="D114" s="4" t="s">
        <v>0</v>
      </c>
      <c r="E114" s="4" t="s">
        <v>41</v>
      </c>
      <c r="F114" s="4" t="s">
        <v>53</v>
      </c>
      <c r="H114" s="2"/>
    </row>
    <row r="115" spans="1:12" x14ac:dyDescent="0.3">
      <c r="A115" s="4">
        <v>2</v>
      </c>
      <c r="B115" s="7">
        <v>2</v>
      </c>
      <c r="C115" s="7" t="s">
        <v>80</v>
      </c>
      <c r="D115" s="4" t="s">
        <v>40</v>
      </c>
      <c r="E115" s="4" t="s">
        <v>9</v>
      </c>
      <c r="F115" s="4" t="s">
        <v>53</v>
      </c>
    </row>
    <row r="116" spans="1:12" x14ac:dyDescent="0.3">
      <c r="A116" s="4">
        <v>2</v>
      </c>
      <c r="B116" s="9">
        <v>1</v>
      </c>
      <c r="C116" s="9" t="s">
        <v>81</v>
      </c>
      <c r="D116" s="9" t="s">
        <v>29</v>
      </c>
      <c r="E116" s="4" t="s">
        <v>42</v>
      </c>
      <c r="F116" s="4" t="s">
        <v>48</v>
      </c>
    </row>
    <row r="117" spans="1:12" x14ac:dyDescent="0.3">
      <c r="A117" s="4">
        <v>2</v>
      </c>
      <c r="B117" s="7">
        <v>2</v>
      </c>
      <c r="C117" s="7" t="s">
        <v>80</v>
      </c>
      <c r="D117" s="4" t="s">
        <v>0</v>
      </c>
      <c r="E117" s="4" t="s">
        <v>41</v>
      </c>
      <c r="F117" s="4" t="s">
        <v>52</v>
      </c>
    </row>
    <row r="118" spans="1:12" x14ac:dyDescent="0.3">
      <c r="A118" s="4">
        <v>2</v>
      </c>
      <c r="B118" s="7">
        <v>2</v>
      </c>
      <c r="C118" s="7" t="s">
        <v>80</v>
      </c>
      <c r="D118" s="4" t="s">
        <v>40</v>
      </c>
      <c r="E118" s="4" t="s">
        <v>9</v>
      </c>
      <c r="F118" s="4" t="s">
        <v>52</v>
      </c>
    </row>
    <row r="119" spans="1:12" x14ac:dyDescent="0.3">
      <c r="A119" s="4">
        <v>2</v>
      </c>
      <c r="B119" s="9">
        <v>2</v>
      </c>
      <c r="C119" s="9" t="s">
        <v>80</v>
      </c>
      <c r="D119" s="9" t="s">
        <v>29</v>
      </c>
      <c r="E119" s="4" t="s">
        <v>42</v>
      </c>
      <c r="F119" s="4" t="s">
        <v>49</v>
      </c>
    </row>
    <row r="120" spans="1:12" x14ac:dyDescent="0.3">
      <c r="A120" s="4">
        <v>2</v>
      </c>
      <c r="B120" s="9">
        <v>1</v>
      </c>
      <c r="C120" s="9" t="s">
        <v>81</v>
      </c>
      <c r="D120" s="9" t="s">
        <v>29</v>
      </c>
      <c r="E120" s="4" t="s">
        <v>42</v>
      </c>
      <c r="F120" s="4" t="s">
        <v>50</v>
      </c>
    </row>
    <row r="121" spans="1:12" x14ac:dyDescent="0.3">
      <c r="A121" s="4">
        <v>2</v>
      </c>
      <c r="B121" s="7">
        <v>2</v>
      </c>
      <c r="C121" s="7" t="s">
        <v>80</v>
      </c>
      <c r="D121" s="4" t="s">
        <v>0</v>
      </c>
      <c r="E121" s="4" t="s">
        <v>41</v>
      </c>
      <c r="F121" s="4" t="s">
        <v>51</v>
      </c>
    </row>
    <row r="122" spans="1:12" x14ac:dyDescent="0.3">
      <c r="A122" s="4">
        <v>2</v>
      </c>
      <c r="B122" s="7">
        <v>1</v>
      </c>
      <c r="C122" s="7" t="s">
        <v>81</v>
      </c>
      <c r="D122" s="4" t="s">
        <v>40</v>
      </c>
      <c r="E122" s="4" t="s">
        <v>10</v>
      </c>
      <c r="F122" s="4" t="s">
        <v>51</v>
      </c>
    </row>
    <row r="123" spans="1:12" x14ac:dyDescent="0.3">
      <c r="A123" s="4">
        <v>2</v>
      </c>
      <c r="B123" s="4">
        <v>1</v>
      </c>
      <c r="C123" s="7" t="s">
        <v>81</v>
      </c>
      <c r="D123" s="4" t="s">
        <v>0</v>
      </c>
      <c r="E123" s="4" t="s">
        <v>41</v>
      </c>
      <c r="F123" s="4" t="s">
        <v>54</v>
      </c>
    </row>
    <row r="124" spans="1:12" x14ac:dyDescent="0.3">
      <c r="A124" s="4">
        <v>2</v>
      </c>
      <c r="B124" s="4">
        <v>1</v>
      </c>
      <c r="C124" s="7" t="s">
        <v>81</v>
      </c>
      <c r="D124" s="4" t="s">
        <v>40</v>
      </c>
      <c r="E124" s="4" t="s">
        <v>9</v>
      </c>
      <c r="F124" s="4" t="s">
        <v>54</v>
      </c>
    </row>
    <row r="125" spans="1:12" x14ac:dyDescent="0.3">
      <c r="A125" s="4">
        <v>2</v>
      </c>
      <c r="B125" s="9">
        <v>2</v>
      </c>
      <c r="C125" s="9" t="s">
        <v>80</v>
      </c>
      <c r="D125" s="9" t="s">
        <v>29</v>
      </c>
      <c r="E125" s="4" t="s">
        <v>42</v>
      </c>
      <c r="F125" s="4" t="s">
        <v>46</v>
      </c>
    </row>
    <row r="126" spans="1:12" x14ac:dyDescent="0.3">
      <c r="A126" s="4">
        <v>2</v>
      </c>
      <c r="B126" s="4">
        <v>1</v>
      </c>
      <c r="C126" s="4" t="s">
        <v>81</v>
      </c>
      <c r="D126" s="4" t="s">
        <v>0</v>
      </c>
      <c r="E126" s="4" t="s">
        <v>41</v>
      </c>
      <c r="F126" s="4" t="s">
        <v>56</v>
      </c>
    </row>
    <row r="127" spans="1:12" x14ac:dyDescent="0.3">
      <c r="A127" s="4">
        <v>2</v>
      </c>
      <c r="B127" s="4">
        <v>1</v>
      </c>
      <c r="C127" s="4" t="s">
        <v>81</v>
      </c>
      <c r="D127" s="4" t="s">
        <v>40</v>
      </c>
      <c r="E127" s="4" t="s">
        <v>9</v>
      </c>
      <c r="F127" s="4" t="s">
        <v>56</v>
      </c>
      <c r="L127" s="2"/>
    </row>
    <row r="128" spans="1:12" x14ac:dyDescent="0.3">
      <c r="A128" s="4">
        <v>2</v>
      </c>
      <c r="B128" s="4">
        <v>1</v>
      </c>
      <c r="C128" s="4" t="s">
        <v>81</v>
      </c>
      <c r="D128" s="4" t="s">
        <v>0</v>
      </c>
      <c r="E128" s="4" t="s">
        <v>41</v>
      </c>
      <c r="F128" s="4" t="s">
        <v>58</v>
      </c>
      <c r="L128" s="2"/>
    </row>
    <row r="129" spans="1:12" x14ac:dyDescent="0.3">
      <c r="A129" s="4">
        <v>2</v>
      </c>
      <c r="B129" s="4">
        <v>2</v>
      </c>
      <c r="C129" s="4" t="s">
        <v>80</v>
      </c>
      <c r="D129" s="4" t="s">
        <v>40</v>
      </c>
      <c r="E129" s="4" t="s">
        <v>10</v>
      </c>
      <c r="F129" s="4" t="s">
        <v>58</v>
      </c>
      <c r="I129" s="2"/>
      <c r="J129" s="2"/>
      <c r="K129" s="2"/>
      <c r="L129" s="2"/>
    </row>
    <row r="130" spans="1:12" x14ac:dyDescent="0.3">
      <c r="A130" s="4">
        <v>2</v>
      </c>
      <c r="B130" s="9">
        <v>2</v>
      </c>
      <c r="C130" s="9" t="s">
        <v>80</v>
      </c>
      <c r="D130" s="9" t="s">
        <v>29</v>
      </c>
      <c r="E130" s="4" t="s">
        <v>42</v>
      </c>
      <c r="F130" s="4" t="s">
        <v>45</v>
      </c>
      <c r="I130" s="2"/>
      <c r="J130" s="2"/>
      <c r="K130" s="2"/>
      <c r="L130" s="2"/>
    </row>
    <row r="131" spans="1:12" x14ac:dyDescent="0.3">
      <c r="A131" s="4">
        <v>2</v>
      </c>
      <c r="B131" s="4">
        <v>2</v>
      </c>
      <c r="C131" s="4" t="s">
        <v>80</v>
      </c>
      <c r="D131" s="4" t="s">
        <v>0</v>
      </c>
      <c r="E131" s="4" t="s">
        <v>41</v>
      </c>
      <c r="F131" s="4" t="s">
        <v>52</v>
      </c>
      <c r="I131" s="2"/>
      <c r="J131" s="2"/>
      <c r="K131" s="2"/>
      <c r="L131" s="2"/>
    </row>
    <row r="132" spans="1:12" x14ac:dyDescent="0.3">
      <c r="A132" s="4">
        <v>2</v>
      </c>
      <c r="B132" s="4">
        <v>1</v>
      </c>
      <c r="C132" s="4" t="s">
        <v>81</v>
      </c>
      <c r="D132" s="4" t="s">
        <v>40</v>
      </c>
      <c r="E132" s="4" t="s">
        <v>10</v>
      </c>
      <c r="F132" s="4" t="s">
        <v>52</v>
      </c>
      <c r="I132" s="2"/>
      <c r="J132" s="2"/>
      <c r="K132" s="2"/>
      <c r="L132" s="2"/>
    </row>
    <row r="133" spans="1:12" x14ac:dyDescent="0.3">
      <c r="A133" s="4">
        <v>2</v>
      </c>
      <c r="B133" s="4">
        <v>1</v>
      </c>
      <c r="C133" s="4" t="s">
        <v>81</v>
      </c>
      <c r="D133" s="4" t="s">
        <v>0</v>
      </c>
      <c r="E133" s="4" t="s">
        <v>41</v>
      </c>
      <c r="F133" s="4" t="s">
        <v>57</v>
      </c>
      <c r="I133" s="2"/>
      <c r="J133" s="2"/>
      <c r="K133" s="2"/>
      <c r="L133" s="2"/>
    </row>
    <row r="134" spans="1:12" x14ac:dyDescent="0.3">
      <c r="A134" s="4">
        <v>2</v>
      </c>
      <c r="B134" s="4">
        <v>2</v>
      </c>
      <c r="C134" s="4" t="s">
        <v>80</v>
      </c>
      <c r="D134" s="4" t="s">
        <v>40</v>
      </c>
      <c r="E134" s="4" t="s">
        <v>10</v>
      </c>
      <c r="F134" s="4" t="s">
        <v>57</v>
      </c>
      <c r="I134" s="2"/>
      <c r="J134" s="2"/>
      <c r="K134" s="2"/>
      <c r="L134" s="2"/>
    </row>
    <row r="135" spans="1:12" x14ac:dyDescent="0.3">
      <c r="A135" s="4">
        <v>2</v>
      </c>
      <c r="B135" s="9">
        <v>1</v>
      </c>
      <c r="C135" s="9" t="s">
        <v>81</v>
      </c>
      <c r="D135" s="9" t="s">
        <v>29</v>
      </c>
      <c r="E135" s="4" t="s">
        <v>42</v>
      </c>
      <c r="F135" s="4" t="s">
        <v>48</v>
      </c>
      <c r="I135" s="2"/>
      <c r="J135" s="2"/>
      <c r="K135" s="2"/>
      <c r="L135" s="2"/>
    </row>
    <row r="136" spans="1:12" x14ac:dyDescent="0.3">
      <c r="A136" s="4">
        <v>2</v>
      </c>
      <c r="B136" s="9">
        <v>1</v>
      </c>
      <c r="C136" s="9" t="s">
        <v>81</v>
      </c>
      <c r="D136" s="9" t="s">
        <v>29</v>
      </c>
      <c r="E136" s="4" t="s">
        <v>42</v>
      </c>
      <c r="F136" s="4" t="s">
        <v>44</v>
      </c>
      <c r="I136" s="2"/>
      <c r="J136" s="2"/>
      <c r="K136" s="2"/>
      <c r="L136" s="2"/>
    </row>
    <row r="137" spans="1:12" x14ac:dyDescent="0.3">
      <c r="A137" s="4">
        <v>2</v>
      </c>
      <c r="B137" s="4">
        <v>2</v>
      </c>
      <c r="C137" s="4" t="s">
        <v>80</v>
      </c>
      <c r="D137" s="4" t="s">
        <v>0</v>
      </c>
      <c r="E137" s="4" t="s">
        <v>41</v>
      </c>
      <c r="F137" s="4" t="s">
        <v>55</v>
      </c>
      <c r="I137" s="2"/>
      <c r="J137" s="2"/>
      <c r="K137" s="2"/>
      <c r="L137" s="2"/>
    </row>
    <row r="138" spans="1:12" x14ac:dyDescent="0.3">
      <c r="A138" s="4">
        <v>2</v>
      </c>
      <c r="B138" s="4">
        <v>2</v>
      </c>
      <c r="C138" s="4" t="s">
        <v>80</v>
      </c>
      <c r="D138" s="4" t="s">
        <v>40</v>
      </c>
      <c r="E138" s="4" t="s">
        <v>9</v>
      </c>
      <c r="F138" s="4" t="s">
        <v>55</v>
      </c>
      <c r="I138" s="2"/>
      <c r="J138" s="2"/>
      <c r="K138" s="2"/>
      <c r="L138" s="2"/>
    </row>
    <row r="139" spans="1:12" x14ac:dyDescent="0.3">
      <c r="A139" s="4">
        <v>2</v>
      </c>
      <c r="B139" s="9">
        <v>1</v>
      </c>
      <c r="C139" s="9" t="s">
        <v>81</v>
      </c>
      <c r="D139" s="9" t="s">
        <v>29</v>
      </c>
      <c r="E139" s="4" t="s">
        <v>42</v>
      </c>
      <c r="F139" s="4" t="s">
        <v>43</v>
      </c>
      <c r="I139" s="2"/>
      <c r="J139" s="2"/>
      <c r="K139" s="2"/>
      <c r="L139" s="2"/>
    </row>
    <row r="140" spans="1:12" x14ac:dyDescent="0.3">
      <c r="A140" s="4">
        <v>2</v>
      </c>
      <c r="B140" s="4">
        <v>2</v>
      </c>
      <c r="C140" s="4" t="s">
        <v>80</v>
      </c>
      <c r="D140" s="4" t="s">
        <v>0</v>
      </c>
      <c r="E140" s="4" t="s">
        <v>41</v>
      </c>
      <c r="F140" s="4" t="s">
        <v>51</v>
      </c>
      <c r="I140" s="2"/>
      <c r="J140" s="2"/>
      <c r="K140" s="2"/>
      <c r="L140" s="2"/>
    </row>
    <row r="141" spans="1:12" x14ac:dyDescent="0.3">
      <c r="A141" s="4">
        <v>2</v>
      </c>
      <c r="B141" s="4">
        <v>2</v>
      </c>
      <c r="C141" s="4" t="s">
        <v>80</v>
      </c>
      <c r="D141" s="4" t="s">
        <v>40</v>
      </c>
      <c r="E141" s="4" t="s">
        <v>9</v>
      </c>
      <c r="F141" s="4" t="s">
        <v>51</v>
      </c>
      <c r="I141" s="2"/>
      <c r="J141" s="2"/>
      <c r="K141" s="2"/>
      <c r="L141" s="2"/>
    </row>
    <row r="142" spans="1:12" x14ac:dyDescent="0.3">
      <c r="A142" s="4">
        <v>2</v>
      </c>
      <c r="B142" s="9">
        <v>2</v>
      </c>
      <c r="C142" s="9" t="s">
        <v>80</v>
      </c>
      <c r="D142" s="9" t="s">
        <v>29</v>
      </c>
      <c r="E142" s="4" t="s">
        <v>42</v>
      </c>
      <c r="F142" s="4" t="s">
        <v>50</v>
      </c>
      <c r="I142" s="2"/>
      <c r="J142" s="2"/>
      <c r="K142" s="2"/>
    </row>
    <row r="143" spans="1:12" x14ac:dyDescent="0.3">
      <c r="A143" s="4">
        <v>2</v>
      </c>
      <c r="B143" s="9">
        <v>1</v>
      </c>
      <c r="C143" s="9" t="s">
        <v>81</v>
      </c>
      <c r="D143" s="9" t="s">
        <v>29</v>
      </c>
      <c r="E143" s="4" t="s">
        <v>42</v>
      </c>
      <c r="F143" s="4" t="s">
        <v>47</v>
      </c>
      <c r="I143" s="2"/>
      <c r="J143" s="2"/>
      <c r="K143" s="2"/>
    </row>
    <row r="144" spans="1:12" x14ac:dyDescent="0.3">
      <c r="A144" s="4">
        <v>2</v>
      </c>
      <c r="B144" s="9">
        <v>2</v>
      </c>
      <c r="C144" s="9" t="s">
        <v>80</v>
      </c>
      <c r="D144" s="9" t="s">
        <v>29</v>
      </c>
      <c r="E144" s="4" t="s">
        <v>42</v>
      </c>
      <c r="F144" s="4" t="s">
        <v>49</v>
      </c>
      <c r="I144" s="2"/>
      <c r="J144" s="2"/>
      <c r="K144" s="2"/>
    </row>
    <row r="145" spans="1:13" x14ac:dyDescent="0.3">
      <c r="A145" s="4">
        <v>2</v>
      </c>
      <c r="B145" s="4">
        <v>2</v>
      </c>
      <c r="C145" s="4" t="s">
        <v>80</v>
      </c>
      <c r="D145" s="4" t="s">
        <v>0</v>
      </c>
      <c r="E145" s="4" t="s">
        <v>41</v>
      </c>
      <c r="F145" s="4" t="s">
        <v>53</v>
      </c>
    </row>
    <row r="146" spans="1:13" x14ac:dyDescent="0.3">
      <c r="A146" s="4">
        <v>2</v>
      </c>
      <c r="B146" s="4">
        <v>1</v>
      </c>
      <c r="C146" s="4" t="s">
        <v>81</v>
      </c>
      <c r="D146" s="4" t="s">
        <v>40</v>
      </c>
      <c r="E146" s="4" t="s">
        <v>10</v>
      </c>
      <c r="F146" s="4" t="s">
        <v>53</v>
      </c>
    </row>
    <row r="147" spans="1:13" x14ac:dyDescent="0.3">
      <c r="A147" s="4">
        <v>2</v>
      </c>
      <c r="B147" s="7">
        <v>1</v>
      </c>
      <c r="C147" s="4" t="s">
        <v>81</v>
      </c>
      <c r="D147" s="4" t="s">
        <v>0</v>
      </c>
      <c r="E147" s="4" t="s">
        <v>41</v>
      </c>
      <c r="F147" s="4" t="s">
        <v>52</v>
      </c>
    </row>
    <row r="148" spans="1:13" x14ac:dyDescent="0.3">
      <c r="A148" s="4">
        <v>2</v>
      </c>
      <c r="B148" s="7">
        <v>1</v>
      </c>
      <c r="C148" s="4" t="s">
        <v>81</v>
      </c>
      <c r="D148" s="4" t="s">
        <v>40</v>
      </c>
      <c r="E148" s="4" t="s">
        <v>9</v>
      </c>
      <c r="F148" s="4" t="s">
        <v>52</v>
      </c>
    </row>
    <row r="149" spans="1:13" x14ac:dyDescent="0.3">
      <c r="A149" s="4">
        <v>2</v>
      </c>
      <c r="B149" s="9">
        <v>2</v>
      </c>
      <c r="C149" s="9" t="s">
        <v>80</v>
      </c>
      <c r="D149" s="9" t="s">
        <v>29</v>
      </c>
      <c r="E149" s="4" t="s">
        <v>42</v>
      </c>
      <c r="F149" s="4" t="s">
        <v>49</v>
      </c>
    </row>
    <row r="150" spans="1:13" x14ac:dyDescent="0.3">
      <c r="A150" s="4">
        <v>2</v>
      </c>
      <c r="B150" s="9">
        <v>2</v>
      </c>
      <c r="C150" s="9" t="s">
        <v>80</v>
      </c>
      <c r="D150" s="9" t="s">
        <v>29</v>
      </c>
      <c r="E150" s="4" t="s">
        <v>42</v>
      </c>
      <c r="F150" s="4" t="s">
        <v>48</v>
      </c>
    </row>
    <row r="151" spans="1:13" x14ac:dyDescent="0.3">
      <c r="A151" s="4">
        <v>2</v>
      </c>
      <c r="B151" s="7">
        <v>1</v>
      </c>
      <c r="C151" s="7" t="s">
        <v>81</v>
      </c>
      <c r="D151" s="4" t="s">
        <v>0</v>
      </c>
      <c r="E151" s="4" t="s">
        <v>41</v>
      </c>
      <c r="F151" s="4" t="s">
        <v>53</v>
      </c>
    </row>
    <row r="152" spans="1:13" x14ac:dyDescent="0.3">
      <c r="A152" s="4">
        <v>2</v>
      </c>
      <c r="B152" s="7">
        <v>1</v>
      </c>
      <c r="C152" s="7" t="s">
        <v>81</v>
      </c>
      <c r="D152" s="4" t="s">
        <v>40</v>
      </c>
      <c r="E152" s="4" t="s">
        <v>9</v>
      </c>
      <c r="F152" s="4" t="s">
        <v>53</v>
      </c>
    </row>
    <row r="153" spans="1:13" x14ac:dyDescent="0.3">
      <c r="A153" s="4">
        <v>2</v>
      </c>
      <c r="B153" s="7">
        <v>1</v>
      </c>
      <c r="C153" s="7" t="s">
        <v>81</v>
      </c>
      <c r="D153" s="4" t="s">
        <v>0</v>
      </c>
      <c r="E153" s="4" t="s">
        <v>41</v>
      </c>
      <c r="F153" s="4" t="s">
        <v>55</v>
      </c>
      <c r="J153" s="2"/>
    </row>
    <row r="154" spans="1:13" x14ac:dyDescent="0.3">
      <c r="A154" s="4">
        <v>2</v>
      </c>
      <c r="B154" s="7">
        <v>2</v>
      </c>
      <c r="C154" s="7" t="s">
        <v>80</v>
      </c>
      <c r="D154" s="4" t="s">
        <v>40</v>
      </c>
      <c r="E154" s="4" t="s">
        <v>10</v>
      </c>
      <c r="F154" s="4" t="s">
        <v>55</v>
      </c>
      <c r="J154" s="2"/>
    </row>
    <row r="155" spans="1:13" x14ac:dyDescent="0.3">
      <c r="A155" s="4">
        <v>2</v>
      </c>
      <c r="B155" s="9">
        <v>1</v>
      </c>
      <c r="C155" s="9" t="s">
        <v>81</v>
      </c>
      <c r="D155" s="9" t="s">
        <v>29</v>
      </c>
      <c r="E155" s="4" t="s">
        <v>42</v>
      </c>
      <c r="F155" s="4" t="s">
        <v>50</v>
      </c>
      <c r="J155" s="2"/>
    </row>
    <row r="156" spans="1:13" x14ac:dyDescent="0.3">
      <c r="A156" s="4">
        <v>2</v>
      </c>
      <c r="B156" s="7">
        <v>2</v>
      </c>
      <c r="C156" s="7" t="s">
        <v>80</v>
      </c>
      <c r="D156" s="4" t="s">
        <v>0</v>
      </c>
      <c r="E156" s="4" t="s">
        <v>41</v>
      </c>
      <c r="F156" s="4" t="s">
        <v>54</v>
      </c>
      <c r="J156" s="2"/>
    </row>
    <row r="157" spans="1:13" x14ac:dyDescent="0.3">
      <c r="A157" s="4">
        <v>2</v>
      </c>
      <c r="B157" s="7">
        <v>1</v>
      </c>
      <c r="C157" s="7" t="s">
        <v>81</v>
      </c>
      <c r="D157" s="4" t="s">
        <v>40</v>
      </c>
      <c r="E157" s="4" t="s">
        <v>10</v>
      </c>
      <c r="F157" s="4" t="s">
        <v>54</v>
      </c>
      <c r="J157" s="2"/>
      <c r="M157" s="2"/>
    </row>
    <row r="158" spans="1:13" x14ac:dyDescent="0.3">
      <c r="A158" s="4">
        <v>2</v>
      </c>
      <c r="B158" s="7">
        <v>1</v>
      </c>
      <c r="C158" s="7" t="s">
        <v>81</v>
      </c>
      <c r="D158" s="4" t="s">
        <v>0</v>
      </c>
      <c r="E158" s="4" t="s">
        <v>41</v>
      </c>
      <c r="F158" s="4" t="s">
        <v>51</v>
      </c>
      <c r="J158" s="2"/>
      <c r="M158" s="2"/>
    </row>
    <row r="159" spans="1:13" x14ac:dyDescent="0.3">
      <c r="A159" s="4">
        <v>2</v>
      </c>
      <c r="B159" s="7">
        <v>2</v>
      </c>
      <c r="C159" s="7" t="s">
        <v>80</v>
      </c>
      <c r="D159" s="4" t="s">
        <v>40</v>
      </c>
      <c r="E159" s="4" t="s">
        <v>10</v>
      </c>
      <c r="F159" s="4" t="s">
        <v>51</v>
      </c>
      <c r="J159" s="2"/>
      <c r="M159" s="2"/>
    </row>
    <row r="160" spans="1:13" x14ac:dyDescent="0.3">
      <c r="A160" s="4">
        <v>2</v>
      </c>
      <c r="B160" s="9">
        <v>2</v>
      </c>
      <c r="C160" s="9" t="s">
        <v>80</v>
      </c>
      <c r="D160" s="9" t="s">
        <v>29</v>
      </c>
      <c r="E160" s="4" t="s">
        <v>42</v>
      </c>
      <c r="F160" s="4" t="s">
        <v>43</v>
      </c>
      <c r="J160" s="2"/>
      <c r="M160" s="2"/>
    </row>
    <row r="161" spans="1:13" x14ac:dyDescent="0.3">
      <c r="A161" s="4">
        <v>2</v>
      </c>
      <c r="B161" s="9">
        <v>1</v>
      </c>
      <c r="C161" s="9" t="s">
        <v>81</v>
      </c>
      <c r="D161" s="9" t="s">
        <v>29</v>
      </c>
      <c r="E161" s="4" t="s">
        <v>42</v>
      </c>
      <c r="F161" s="4" t="s">
        <v>46</v>
      </c>
      <c r="J161" s="2"/>
      <c r="M161" s="2"/>
    </row>
    <row r="162" spans="1:13" x14ac:dyDescent="0.3">
      <c r="A162" s="4">
        <v>2</v>
      </c>
      <c r="B162" s="7">
        <v>2</v>
      </c>
      <c r="C162" s="7" t="s">
        <v>80</v>
      </c>
      <c r="D162" s="4" t="s">
        <v>0</v>
      </c>
      <c r="E162" s="4" t="s">
        <v>41</v>
      </c>
      <c r="F162" s="4" t="s">
        <v>57</v>
      </c>
      <c r="J162" s="2"/>
      <c r="M162" s="2"/>
    </row>
    <row r="163" spans="1:13" x14ac:dyDescent="0.3">
      <c r="A163" s="4">
        <v>2</v>
      </c>
      <c r="B163" s="7">
        <v>2</v>
      </c>
      <c r="C163" s="7" t="s">
        <v>80</v>
      </c>
      <c r="D163" s="4" t="s">
        <v>40</v>
      </c>
      <c r="E163" s="4" t="s">
        <v>9</v>
      </c>
      <c r="F163" s="4" t="s">
        <v>57</v>
      </c>
      <c r="J163" s="2"/>
      <c r="M163" s="2"/>
    </row>
    <row r="164" spans="1:13" x14ac:dyDescent="0.3">
      <c r="A164" s="4">
        <v>2</v>
      </c>
      <c r="B164" s="9">
        <v>1</v>
      </c>
      <c r="C164" s="9" t="s">
        <v>81</v>
      </c>
      <c r="D164" s="9" t="s">
        <v>29</v>
      </c>
      <c r="E164" s="4" t="s">
        <v>42</v>
      </c>
      <c r="F164" s="4" t="s">
        <v>44</v>
      </c>
      <c r="J164" s="2"/>
      <c r="M164" s="2"/>
    </row>
    <row r="165" spans="1:13" x14ac:dyDescent="0.3">
      <c r="A165" s="4">
        <v>2</v>
      </c>
      <c r="B165" s="7">
        <v>2</v>
      </c>
      <c r="C165" s="7" t="s">
        <v>80</v>
      </c>
      <c r="D165" s="4" t="s">
        <v>0</v>
      </c>
      <c r="E165" s="4" t="s">
        <v>41</v>
      </c>
      <c r="F165" s="4" t="s">
        <v>58</v>
      </c>
      <c r="J165" s="2"/>
      <c r="M165" s="2"/>
    </row>
    <row r="166" spans="1:13" x14ac:dyDescent="0.3">
      <c r="A166" s="4">
        <v>2</v>
      </c>
      <c r="B166" s="7">
        <v>2</v>
      </c>
      <c r="C166" s="7" t="s">
        <v>80</v>
      </c>
      <c r="D166" s="4" t="s">
        <v>40</v>
      </c>
      <c r="E166" s="4" t="s">
        <v>9</v>
      </c>
      <c r="F166" s="4" t="s">
        <v>58</v>
      </c>
      <c r="J166" s="2"/>
      <c r="M166" s="2"/>
    </row>
    <row r="167" spans="1:13" x14ac:dyDescent="0.3">
      <c r="A167" s="4">
        <v>2</v>
      </c>
      <c r="B167" s="7">
        <v>2</v>
      </c>
      <c r="C167" s="7" t="s">
        <v>80</v>
      </c>
      <c r="D167" s="4" t="s">
        <v>0</v>
      </c>
      <c r="E167" s="4" t="s">
        <v>41</v>
      </c>
      <c r="F167" s="4" t="s">
        <v>56</v>
      </c>
      <c r="J167" s="2"/>
      <c r="M167" s="2"/>
    </row>
    <row r="168" spans="1:13" x14ac:dyDescent="0.3">
      <c r="A168" s="4">
        <v>2</v>
      </c>
      <c r="B168" s="7">
        <v>1</v>
      </c>
      <c r="C168" s="7" t="s">
        <v>81</v>
      </c>
      <c r="D168" s="4" t="s">
        <v>40</v>
      </c>
      <c r="E168" s="4" t="s">
        <v>10</v>
      </c>
      <c r="F168" s="4" t="s">
        <v>56</v>
      </c>
      <c r="J168" s="2"/>
      <c r="K168" s="2"/>
      <c r="M168" s="2"/>
    </row>
    <row r="169" spans="1:13" x14ac:dyDescent="0.3">
      <c r="A169" s="4">
        <v>2</v>
      </c>
      <c r="B169" s="9">
        <v>1</v>
      </c>
      <c r="C169" s="9" t="s">
        <v>81</v>
      </c>
      <c r="D169" s="9" t="s">
        <v>29</v>
      </c>
      <c r="E169" s="4" t="s">
        <v>42</v>
      </c>
      <c r="F169" s="4" t="s">
        <v>45</v>
      </c>
      <c r="M169" s="2"/>
    </row>
    <row r="170" spans="1:13" x14ac:dyDescent="0.3">
      <c r="A170" s="4">
        <v>2</v>
      </c>
      <c r="B170" s="9">
        <v>2</v>
      </c>
      <c r="C170" s="9" t="s">
        <v>80</v>
      </c>
      <c r="D170" s="9" t="s">
        <v>29</v>
      </c>
      <c r="E170" s="4" t="s">
        <v>42</v>
      </c>
      <c r="F170" s="4" t="s">
        <v>47</v>
      </c>
      <c r="M170" s="2"/>
    </row>
    <row r="171" spans="1:13" x14ac:dyDescent="0.3">
      <c r="A171" s="4">
        <v>2</v>
      </c>
      <c r="B171" s="4">
        <v>1</v>
      </c>
      <c r="C171" s="4" t="s">
        <v>81</v>
      </c>
      <c r="D171" s="4" t="s">
        <v>0</v>
      </c>
      <c r="E171" s="4" t="s">
        <v>41</v>
      </c>
      <c r="F171" s="4" t="s">
        <v>51</v>
      </c>
      <c r="M171" s="2"/>
    </row>
    <row r="172" spans="1:13" x14ac:dyDescent="0.3">
      <c r="A172" s="4">
        <v>2</v>
      </c>
      <c r="B172" s="4">
        <v>1</v>
      </c>
      <c r="C172" s="4" t="s">
        <v>81</v>
      </c>
      <c r="D172" s="4" t="s">
        <v>40</v>
      </c>
      <c r="E172" s="4" t="s">
        <v>9</v>
      </c>
      <c r="F172" s="4" t="s">
        <v>51</v>
      </c>
    </row>
    <row r="173" spans="1:13" x14ac:dyDescent="0.3">
      <c r="A173" s="4">
        <v>2</v>
      </c>
      <c r="B173" s="9">
        <v>2</v>
      </c>
      <c r="C173" s="9" t="s">
        <v>80</v>
      </c>
      <c r="D173" s="9" t="s">
        <v>29</v>
      </c>
      <c r="E173" s="4" t="s">
        <v>42</v>
      </c>
      <c r="F173" s="4" t="s">
        <v>47</v>
      </c>
      <c r="K173" s="2"/>
    </row>
    <row r="174" spans="1:13" x14ac:dyDescent="0.3">
      <c r="A174" s="4">
        <v>2</v>
      </c>
      <c r="B174" s="4">
        <v>1</v>
      </c>
      <c r="C174" s="25" t="s">
        <v>81</v>
      </c>
      <c r="D174" s="4" t="s">
        <v>0</v>
      </c>
      <c r="E174" s="4" t="s">
        <v>41</v>
      </c>
      <c r="F174" s="4" t="s">
        <v>55</v>
      </c>
      <c r="K174" s="2"/>
    </row>
    <row r="175" spans="1:13" x14ac:dyDescent="0.3">
      <c r="A175" s="4">
        <v>2</v>
      </c>
      <c r="B175" s="4">
        <v>1</v>
      </c>
      <c r="C175" s="25" t="s">
        <v>81</v>
      </c>
      <c r="D175" s="4" t="s">
        <v>40</v>
      </c>
      <c r="E175" s="4" t="s">
        <v>9</v>
      </c>
      <c r="F175" s="4" t="s">
        <v>55</v>
      </c>
      <c r="K175" s="2"/>
    </row>
    <row r="176" spans="1:13" x14ac:dyDescent="0.3">
      <c r="A176" s="4">
        <v>2</v>
      </c>
      <c r="B176" s="4">
        <v>1</v>
      </c>
      <c r="C176" s="25" t="s">
        <v>81</v>
      </c>
      <c r="D176" s="4" t="s">
        <v>0</v>
      </c>
      <c r="E176" s="4" t="s">
        <v>41</v>
      </c>
      <c r="F176" s="4" t="s">
        <v>53</v>
      </c>
      <c r="K176" s="2"/>
    </row>
    <row r="177" spans="1:11" x14ac:dyDescent="0.3">
      <c r="A177" s="4">
        <v>2</v>
      </c>
      <c r="B177" s="4">
        <v>1</v>
      </c>
      <c r="C177" s="25" t="s">
        <v>81</v>
      </c>
      <c r="D177" s="4" t="s">
        <v>40</v>
      </c>
      <c r="E177" s="4" t="s">
        <v>10</v>
      </c>
      <c r="F177" s="4" t="s">
        <v>53</v>
      </c>
      <c r="K177" s="2"/>
    </row>
    <row r="178" spans="1:11" x14ac:dyDescent="0.3">
      <c r="A178" s="4">
        <v>2</v>
      </c>
      <c r="B178" s="9">
        <v>2</v>
      </c>
      <c r="C178" s="9" t="s">
        <v>80</v>
      </c>
      <c r="D178" s="9" t="s">
        <v>29</v>
      </c>
      <c r="E178" s="4" t="s">
        <v>42</v>
      </c>
      <c r="F178" s="4" t="s">
        <v>50</v>
      </c>
      <c r="K178" s="2"/>
    </row>
    <row r="179" spans="1:11" x14ac:dyDescent="0.3">
      <c r="A179" s="4">
        <v>2</v>
      </c>
      <c r="B179" s="4">
        <v>2</v>
      </c>
      <c r="C179" s="4" t="s">
        <v>80</v>
      </c>
      <c r="D179" s="4" t="s">
        <v>0</v>
      </c>
      <c r="E179" s="4" t="s">
        <v>41</v>
      </c>
      <c r="F179" s="4" t="s">
        <v>57</v>
      </c>
      <c r="K179" s="2"/>
    </row>
    <row r="180" spans="1:11" x14ac:dyDescent="0.3">
      <c r="A180" s="4">
        <v>2</v>
      </c>
      <c r="B180" s="4">
        <v>1</v>
      </c>
      <c r="C180" s="4" t="s">
        <v>81</v>
      </c>
      <c r="D180" s="4" t="s">
        <v>40</v>
      </c>
      <c r="E180" s="4" t="s">
        <v>10</v>
      </c>
      <c r="F180" s="4" t="s">
        <v>57</v>
      </c>
      <c r="K180" s="2"/>
    </row>
    <row r="181" spans="1:11" x14ac:dyDescent="0.3">
      <c r="A181" s="4">
        <v>2</v>
      </c>
      <c r="B181" s="9">
        <v>1</v>
      </c>
      <c r="C181" s="9" t="s">
        <v>81</v>
      </c>
      <c r="D181" s="9" t="s">
        <v>29</v>
      </c>
      <c r="E181" s="4" t="s">
        <v>42</v>
      </c>
      <c r="F181" s="4" t="s">
        <v>49</v>
      </c>
      <c r="K181" s="2"/>
    </row>
    <row r="182" spans="1:11" x14ac:dyDescent="0.3">
      <c r="A182" s="4">
        <v>2</v>
      </c>
      <c r="B182" s="9">
        <v>2</v>
      </c>
      <c r="C182" s="9" t="s">
        <v>80</v>
      </c>
      <c r="D182" s="9" t="s">
        <v>29</v>
      </c>
      <c r="E182" s="4" t="s">
        <v>42</v>
      </c>
      <c r="F182" s="4" t="s">
        <v>45</v>
      </c>
      <c r="K182" s="2"/>
    </row>
    <row r="183" spans="1:11" x14ac:dyDescent="0.3">
      <c r="A183" s="4">
        <v>2</v>
      </c>
      <c r="B183" s="9">
        <v>1</v>
      </c>
      <c r="C183" s="9" t="s">
        <v>81</v>
      </c>
      <c r="D183" s="9" t="s">
        <v>29</v>
      </c>
      <c r="E183" s="4" t="s">
        <v>42</v>
      </c>
      <c r="F183" s="4" t="s">
        <v>44</v>
      </c>
      <c r="K183" s="2"/>
    </row>
    <row r="184" spans="1:11" x14ac:dyDescent="0.3">
      <c r="A184" s="4">
        <v>2</v>
      </c>
      <c r="B184" s="4">
        <v>1</v>
      </c>
      <c r="C184" s="4" t="s">
        <v>81</v>
      </c>
      <c r="D184" s="4" t="s">
        <v>0</v>
      </c>
      <c r="E184" s="4" t="s">
        <v>41</v>
      </c>
      <c r="F184" s="4" t="s">
        <v>52</v>
      </c>
      <c r="K184" s="2"/>
    </row>
    <row r="185" spans="1:11" x14ac:dyDescent="0.3">
      <c r="A185" s="4">
        <v>2</v>
      </c>
      <c r="B185" s="4">
        <v>2</v>
      </c>
      <c r="C185" s="4" t="s">
        <v>80</v>
      </c>
      <c r="D185" s="4" t="s">
        <v>40</v>
      </c>
      <c r="E185" s="4" t="s">
        <v>10</v>
      </c>
      <c r="F185" s="4" t="s">
        <v>52</v>
      </c>
      <c r="K185" s="2"/>
    </row>
    <row r="186" spans="1:11" x14ac:dyDescent="0.3">
      <c r="A186" s="4">
        <v>2</v>
      </c>
      <c r="B186" s="4">
        <v>2</v>
      </c>
      <c r="C186" s="4" t="s">
        <v>80</v>
      </c>
      <c r="D186" s="4" t="s">
        <v>0</v>
      </c>
      <c r="E186" s="4" t="s">
        <v>41</v>
      </c>
      <c r="F186" s="4" t="s">
        <v>56</v>
      </c>
      <c r="K186" s="2"/>
    </row>
    <row r="187" spans="1:11" x14ac:dyDescent="0.3">
      <c r="A187" s="4">
        <v>2</v>
      </c>
      <c r="B187" s="4">
        <v>2</v>
      </c>
      <c r="C187" s="4" t="s">
        <v>80</v>
      </c>
      <c r="D187" s="4" t="s">
        <v>40</v>
      </c>
      <c r="E187" s="4" t="s">
        <v>9</v>
      </c>
      <c r="F187" s="4" t="s">
        <v>56</v>
      </c>
      <c r="K187" s="2"/>
    </row>
    <row r="188" spans="1:11" x14ac:dyDescent="0.3">
      <c r="A188" s="4">
        <v>2</v>
      </c>
      <c r="B188" s="9">
        <v>1</v>
      </c>
      <c r="C188" s="9" t="s">
        <v>81</v>
      </c>
      <c r="D188" s="9" t="s">
        <v>29</v>
      </c>
      <c r="E188" s="4" t="s">
        <v>42</v>
      </c>
      <c r="F188" s="4" t="s">
        <v>46</v>
      </c>
      <c r="K188" s="2"/>
    </row>
    <row r="189" spans="1:11" x14ac:dyDescent="0.3">
      <c r="A189" s="4">
        <v>2</v>
      </c>
      <c r="B189" s="4">
        <v>2</v>
      </c>
      <c r="C189" s="4" t="s">
        <v>80</v>
      </c>
      <c r="D189" s="4" t="s">
        <v>0</v>
      </c>
      <c r="E189" s="4" t="s">
        <v>41</v>
      </c>
      <c r="F189" s="4" t="s">
        <v>54</v>
      </c>
      <c r="K189" s="2"/>
    </row>
    <row r="190" spans="1:11" x14ac:dyDescent="0.3">
      <c r="A190" s="4">
        <v>2</v>
      </c>
      <c r="B190" s="4">
        <v>2</v>
      </c>
      <c r="C190" s="4" t="s">
        <v>80</v>
      </c>
      <c r="D190" s="4" t="s">
        <v>40</v>
      </c>
      <c r="E190" s="4" t="s">
        <v>9</v>
      </c>
      <c r="F190" s="4" t="s">
        <v>54</v>
      </c>
    </row>
    <row r="191" spans="1:11" x14ac:dyDescent="0.3">
      <c r="A191" s="4">
        <v>2</v>
      </c>
      <c r="B191" s="9">
        <v>1</v>
      </c>
      <c r="C191" s="9" t="s">
        <v>81</v>
      </c>
      <c r="D191" s="9" t="s">
        <v>29</v>
      </c>
      <c r="E191" s="4" t="s">
        <v>42</v>
      </c>
      <c r="F191" s="4" t="s">
        <v>43</v>
      </c>
    </row>
    <row r="192" spans="1:11" x14ac:dyDescent="0.3">
      <c r="A192" s="4">
        <v>2</v>
      </c>
      <c r="B192" s="9">
        <v>2</v>
      </c>
      <c r="C192" s="9" t="s">
        <v>80</v>
      </c>
      <c r="D192" s="9" t="s">
        <v>29</v>
      </c>
      <c r="E192" s="4" t="s">
        <v>42</v>
      </c>
      <c r="F192" s="4" t="s">
        <v>48</v>
      </c>
    </row>
    <row r="193" spans="1:8" x14ac:dyDescent="0.3">
      <c r="A193" s="4">
        <v>2</v>
      </c>
      <c r="B193" s="4">
        <v>2</v>
      </c>
      <c r="C193" s="4" t="s">
        <v>80</v>
      </c>
      <c r="D193" s="4" t="s">
        <v>0</v>
      </c>
      <c r="E193" s="4" t="s">
        <v>41</v>
      </c>
      <c r="F193" s="4" t="s">
        <v>58</v>
      </c>
    </row>
    <row r="194" spans="1:8" x14ac:dyDescent="0.3">
      <c r="A194" s="4">
        <v>2</v>
      </c>
      <c r="B194" s="4">
        <v>1</v>
      </c>
      <c r="C194" s="4" t="s">
        <v>81</v>
      </c>
      <c r="D194" s="4" t="s">
        <v>40</v>
      </c>
      <c r="E194" s="4" t="s">
        <v>10</v>
      </c>
      <c r="F194" s="4" t="s">
        <v>58</v>
      </c>
    </row>
    <row r="195" spans="1:8" x14ac:dyDescent="0.3">
      <c r="A195" s="4"/>
      <c r="B195" s="4" t="s">
        <v>25</v>
      </c>
      <c r="C195" s="4"/>
      <c r="D195" s="4"/>
      <c r="E195" s="4"/>
      <c r="F195" s="4"/>
    </row>
    <row r="196" spans="1:8" x14ac:dyDescent="0.3">
      <c r="A196" s="7">
        <v>3</v>
      </c>
      <c r="B196" s="7">
        <v>1</v>
      </c>
      <c r="C196" s="7" t="s">
        <v>81</v>
      </c>
      <c r="D196" s="4" t="s">
        <v>0</v>
      </c>
      <c r="E196" s="4" t="s">
        <v>41</v>
      </c>
      <c r="F196" s="4" t="s">
        <v>59</v>
      </c>
      <c r="H196" s="2"/>
    </row>
    <row r="197" spans="1:8" x14ac:dyDescent="0.3">
      <c r="A197" s="7">
        <v>3</v>
      </c>
      <c r="B197" s="7">
        <v>2</v>
      </c>
      <c r="C197" s="7" t="s">
        <v>80</v>
      </c>
      <c r="D197" s="4" t="s">
        <v>40</v>
      </c>
      <c r="E197" s="4" t="s">
        <v>10</v>
      </c>
      <c r="F197" s="4" t="s">
        <v>59</v>
      </c>
      <c r="H197" s="2"/>
    </row>
    <row r="198" spans="1:8" x14ac:dyDescent="0.3">
      <c r="A198" s="7">
        <v>3</v>
      </c>
      <c r="B198" s="7">
        <v>2</v>
      </c>
      <c r="C198" s="7" t="s">
        <v>80</v>
      </c>
      <c r="D198" s="4" t="s">
        <v>0</v>
      </c>
      <c r="E198" s="4" t="s">
        <v>41</v>
      </c>
      <c r="F198" s="4" t="s">
        <v>60</v>
      </c>
      <c r="H198" s="2"/>
    </row>
    <row r="199" spans="1:8" x14ac:dyDescent="0.3">
      <c r="A199" s="7">
        <v>3</v>
      </c>
      <c r="B199" s="7">
        <v>1</v>
      </c>
      <c r="C199" s="7" t="s">
        <v>81</v>
      </c>
      <c r="D199" s="4" t="s">
        <v>40</v>
      </c>
      <c r="E199" s="4" t="s">
        <v>10</v>
      </c>
      <c r="F199" s="4" t="s">
        <v>60</v>
      </c>
      <c r="H199" s="2"/>
    </row>
    <row r="200" spans="1:8" x14ac:dyDescent="0.3">
      <c r="A200" s="7">
        <v>3</v>
      </c>
      <c r="B200" s="10">
        <v>1</v>
      </c>
      <c r="C200" s="10" t="s">
        <v>81</v>
      </c>
      <c r="D200" s="10" t="s">
        <v>29</v>
      </c>
      <c r="E200" s="4" t="s">
        <v>42</v>
      </c>
      <c r="F200" s="4" t="s">
        <v>58</v>
      </c>
      <c r="H200" s="2"/>
    </row>
    <row r="201" spans="1:8" x14ac:dyDescent="0.3">
      <c r="A201" s="7">
        <v>3</v>
      </c>
      <c r="B201" s="7">
        <v>1</v>
      </c>
      <c r="C201" s="7" t="s">
        <v>81</v>
      </c>
      <c r="D201" s="4" t="s">
        <v>0</v>
      </c>
      <c r="E201" s="4" t="s">
        <v>41</v>
      </c>
      <c r="F201" s="4" t="s">
        <v>61</v>
      </c>
      <c r="H201" s="2"/>
    </row>
    <row r="202" spans="1:8" x14ac:dyDescent="0.3">
      <c r="A202" s="7">
        <v>3</v>
      </c>
      <c r="B202" s="7">
        <v>2</v>
      </c>
      <c r="C202" s="7" t="s">
        <v>80</v>
      </c>
      <c r="D202" s="4" t="s">
        <v>40</v>
      </c>
      <c r="E202" s="4" t="s">
        <v>10</v>
      </c>
      <c r="F202" s="4" t="s">
        <v>61</v>
      </c>
      <c r="H202" s="3"/>
    </row>
    <row r="203" spans="1:8" x14ac:dyDescent="0.3">
      <c r="A203" s="7">
        <v>3</v>
      </c>
      <c r="B203" s="10">
        <v>1</v>
      </c>
      <c r="C203" s="10" t="s">
        <v>81</v>
      </c>
      <c r="D203" s="10" t="s">
        <v>29</v>
      </c>
      <c r="E203" s="4" t="s">
        <v>42</v>
      </c>
      <c r="F203" s="4" t="s">
        <v>57</v>
      </c>
      <c r="H203" s="3"/>
    </row>
    <row r="204" spans="1:8" x14ac:dyDescent="0.3">
      <c r="A204" s="7">
        <v>3</v>
      </c>
      <c r="B204" s="7">
        <v>2</v>
      </c>
      <c r="C204" s="7" t="s">
        <v>80</v>
      </c>
      <c r="D204" s="4" t="s">
        <v>0</v>
      </c>
      <c r="E204" s="4" t="s">
        <v>41</v>
      </c>
      <c r="F204" s="4" t="s">
        <v>62</v>
      </c>
      <c r="H204" s="3"/>
    </row>
    <row r="205" spans="1:8" x14ac:dyDescent="0.3">
      <c r="A205" s="7">
        <v>3</v>
      </c>
      <c r="B205" s="7">
        <v>2</v>
      </c>
      <c r="C205" s="7" t="s">
        <v>80</v>
      </c>
      <c r="D205" s="4" t="s">
        <v>40</v>
      </c>
      <c r="E205" s="4" t="s">
        <v>9</v>
      </c>
      <c r="F205" s="4" t="s">
        <v>62</v>
      </c>
      <c r="H205" s="3"/>
    </row>
    <row r="206" spans="1:8" x14ac:dyDescent="0.3">
      <c r="A206" s="7">
        <v>3</v>
      </c>
      <c r="B206" s="10">
        <v>2</v>
      </c>
      <c r="C206" s="10" t="s">
        <v>80</v>
      </c>
      <c r="D206" s="10" t="s">
        <v>29</v>
      </c>
      <c r="E206" s="4" t="s">
        <v>42</v>
      </c>
      <c r="F206" s="4" t="s">
        <v>56</v>
      </c>
      <c r="H206" s="2"/>
    </row>
    <row r="207" spans="1:8" x14ac:dyDescent="0.3">
      <c r="A207" s="7">
        <v>3</v>
      </c>
      <c r="B207" s="10">
        <v>1</v>
      </c>
      <c r="C207" s="10" t="s">
        <v>81</v>
      </c>
      <c r="D207" s="10" t="s">
        <v>29</v>
      </c>
      <c r="E207" s="4" t="s">
        <v>42</v>
      </c>
      <c r="F207" s="4" t="s">
        <v>55</v>
      </c>
      <c r="H207" s="2"/>
    </row>
    <row r="208" spans="1:8" x14ac:dyDescent="0.3">
      <c r="A208" s="7">
        <v>3</v>
      </c>
      <c r="B208" s="10">
        <v>1</v>
      </c>
      <c r="C208" s="10" t="s">
        <v>81</v>
      </c>
      <c r="D208" s="10" t="s">
        <v>29</v>
      </c>
      <c r="E208" s="4" t="s">
        <v>42</v>
      </c>
      <c r="F208" s="4" t="s">
        <v>54</v>
      </c>
      <c r="H208" s="2"/>
    </row>
    <row r="209" spans="1:10" x14ac:dyDescent="0.3">
      <c r="A209" s="7">
        <v>3</v>
      </c>
      <c r="B209" s="7">
        <v>2</v>
      </c>
      <c r="C209" s="7" t="s">
        <v>80</v>
      </c>
      <c r="D209" s="4" t="s">
        <v>0</v>
      </c>
      <c r="E209" s="4" t="s">
        <v>41</v>
      </c>
      <c r="F209" s="4" t="s">
        <v>63</v>
      </c>
      <c r="H209" s="2"/>
    </row>
    <row r="210" spans="1:10" x14ac:dyDescent="0.3">
      <c r="A210" s="7">
        <v>3</v>
      </c>
      <c r="B210" s="7">
        <v>2</v>
      </c>
      <c r="C210" s="7" t="s">
        <v>80</v>
      </c>
      <c r="D210" s="4" t="s">
        <v>40</v>
      </c>
      <c r="E210" s="4" t="s">
        <v>9</v>
      </c>
      <c r="F210" s="4" t="s">
        <v>63</v>
      </c>
      <c r="H210" s="2"/>
    </row>
    <row r="211" spans="1:10" x14ac:dyDescent="0.3">
      <c r="A211" s="7">
        <v>3</v>
      </c>
      <c r="B211" s="7">
        <v>2</v>
      </c>
      <c r="C211" s="7" t="s">
        <v>80</v>
      </c>
      <c r="D211" s="4" t="s">
        <v>0</v>
      </c>
      <c r="E211" s="4" t="s">
        <v>41</v>
      </c>
      <c r="F211" s="4" t="s">
        <v>64</v>
      </c>
      <c r="H211" s="2"/>
    </row>
    <row r="212" spans="1:10" x14ac:dyDescent="0.3">
      <c r="A212" s="7">
        <v>3</v>
      </c>
      <c r="B212" s="7">
        <v>1</v>
      </c>
      <c r="C212" s="7" t="s">
        <v>81</v>
      </c>
      <c r="D212" s="4" t="s">
        <v>40</v>
      </c>
      <c r="E212" s="4" t="s">
        <v>10</v>
      </c>
      <c r="F212" s="4" t="s">
        <v>64</v>
      </c>
    </row>
    <row r="213" spans="1:10" x14ac:dyDescent="0.3">
      <c r="A213" s="7">
        <v>3</v>
      </c>
      <c r="B213" s="10">
        <v>2</v>
      </c>
      <c r="C213" s="10" t="s">
        <v>80</v>
      </c>
      <c r="D213" s="10" t="s">
        <v>29</v>
      </c>
      <c r="E213" s="4" t="s">
        <v>42</v>
      </c>
      <c r="F213" s="4" t="s">
        <v>53</v>
      </c>
    </row>
    <row r="214" spans="1:10" x14ac:dyDescent="0.3">
      <c r="A214" s="7">
        <v>3</v>
      </c>
      <c r="B214" s="7">
        <v>1</v>
      </c>
      <c r="C214" s="7" t="s">
        <v>81</v>
      </c>
      <c r="D214" s="4" t="s">
        <v>0</v>
      </c>
      <c r="E214" s="4" t="s">
        <v>41</v>
      </c>
      <c r="F214" s="4" t="s">
        <v>65</v>
      </c>
    </row>
    <row r="215" spans="1:10" x14ac:dyDescent="0.3">
      <c r="A215" s="7">
        <v>3</v>
      </c>
      <c r="B215" s="7">
        <v>1</v>
      </c>
      <c r="C215" s="7" t="s">
        <v>81</v>
      </c>
      <c r="D215" s="4" t="s">
        <v>40</v>
      </c>
      <c r="E215" s="4" t="s">
        <v>9</v>
      </c>
      <c r="F215" s="4" t="s">
        <v>65</v>
      </c>
    </row>
    <row r="216" spans="1:10" x14ac:dyDescent="0.3">
      <c r="A216" s="7">
        <v>3</v>
      </c>
      <c r="B216" s="10">
        <v>2</v>
      </c>
      <c r="C216" s="10" t="s">
        <v>80</v>
      </c>
      <c r="D216" s="10" t="s">
        <v>29</v>
      </c>
      <c r="E216" s="4" t="s">
        <v>42</v>
      </c>
      <c r="F216" s="4" t="s">
        <v>52</v>
      </c>
    </row>
    <row r="217" spans="1:10" x14ac:dyDescent="0.3">
      <c r="A217" s="7">
        <v>3</v>
      </c>
      <c r="B217" s="10">
        <v>2</v>
      </c>
      <c r="C217" s="10" t="s">
        <v>80</v>
      </c>
      <c r="D217" s="10" t="s">
        <v>29</v>
      </c>
      <c r="E217" s="4" t="s">
        <v>42</v>
      </c>
      <c r="F217" s="4" t="s">
        <v>51</v>
      </c>
    </row>
    <row r="218" spans="1:10" x14ac:dyDescent="0.3">
      <c r="A218" s="7">
        <v>3</v>
      </c>
      <c r="B218" s="7">
        <v>1</v>
      </c>
      <c r="C218" s="7" t="s">
        <v>81</v>
      </c>
      <c r="D218" s="4" t="s">
        <v>0</v>
      </c>
      <c r="E218" s="4" t="s">
        <v>41</v>
      </c>
      <c r="F218" s="4" t="s">
        <v>66</v>
      </c>
    </row>
    <row r="219" spans="1:10" x14ac:dyDescent="0.3">
      <c r="A219" s="7">
        <v>3</v>
      </c>
      <c r="B219" s="7">
        <v>1</v>
      </c>
      <c r="C219" s="7" t="s">
        <v>81</v>
      </c>
      <c r="D219" s="4" t="s">
        <v>40</v>
      </c>
      <c r="E219" s="4" t="s">
        <v>9</v>
      </c>
      <c r="F219" s="4" t="s">
        <v>66</v>
      </c>
    </row>
    <row r="220" spans="1:10" x14ac:dyDescent="0.3">
      <c r="A220" s="7">
        <v>3</v>
      </c>
      <c r="B220" s="10">
        <v>2</v>
      </c>
      <c r="C220" s="10" t="s">
        <v>80</v>
      </c>
      <c r="D220" s="10" t="s">
        <v>29</v>
      </c>
      <c r="E220" s="4" t="s">
        <v>42</v>
      </c>
      <c r="F220" s="4" t="s">
        <v>54</v>
      </c>
    </row>
    <row r="221" spans="1:10" x14ac:dyDescent="0.3">
      <c r="A221" s="7">
        <v>3</v>
      </c>
      <c r="B221" s="4">
        <v>1</v>
      </c>
      <c r="C221" s="4" t="s">
        <v>81</v>
      </c>
      <c r="D221" s="4" t="s">
        <v>0</v>
      </c>
      <c r="E221" s="4" t="s">
        <v>41</v>
      </c>
      <c r="F221" s="4" t="s">
        <v>64</v>
      </c>
    </row>
    <row r="222" spans="1:10" x14ac:dyDescent="0.3">
      <c r="A222" s="7">
        <v>3</v>
      </c>
      <c r="B222" s="4">
        <v>2</v>
      </c>
      <c r="C222" s="4" t="s">
        <v>80</v>
      </c>
      <c r="D222" s="4" t="s">
        <v>40</v>
      </c>
      <c r="E222" s="4" t="s">
        <v>10</v>
      </c>
      <c r="F222" s="4" t="s">
        <v>64</v>
      </c>
    </row>
    <row r="223" spans="1:10" x14ac:dyDescent="0.3">
      <c r="A223" s="7">
        <v>3</v>
      </c>
      <c r="B223" s="10">
        <v>1</v>
      </c>
      <c r="C223" s="10" t="s">
        <v>81</v>
      </c>
      <c r="D223" s="10" t="s">
        <v>29</v>
      </c>
      <c r="E223" s="4" t="s">
        <v>42</v>
      </c>
      <c r="F223" s="4" t="s">
        <v>56</v>
      </c>
    </row>
    <row r="224" spans="1:10" x14ac:dyDescent="0.3">
      <c r="A224" s="7">
        <v>3</v>
      </c>
      <c r="B224" s="4">
        <v>2</v>
      </c>
      <c r="C224" s="4" t="s">
        <v>80</v>
      </c>
      <c r="D224" s="4" t="s">
        <v>0</v>
      </c>
      <c r="E224" s="4" t="s">
        <v>41</v>
      </c>
      <c r="F224" s="4" t="s">
        <v>62</v>
      </c>
      <c r="J224" s="2"/>
    </row>
    <row r="225" spans="1:10" x14ac:dyDescent="0.3">
      <c r="A225" s="7">
        <v>3</v>
      </c>
      <c r="B225" s="4">
        <v>1</v>
      </c>
      <c r="C225" s="4" t="s">
        <v>81</v>
      </c>
      <c r="D225" s="4" t="s">
        <v>40</v>
      </c>
      <c r="E225" s="4" t="s">
        <v>10</v>
      </c>
      <c r="F225" s="4" t="s">
        <v>62</v>
      </c>
      <c r="J225" s="2"/>
    </row>
    <row r="226" spans="1:10" x14ac:dyDescent="0.3">
      <c r="A226" s="7">
        <v>3</v>
      </c>
      <c r="B226" s="4">
        <v>1</v>
      </c>
      <c r="C226" s="4" t="s">
        <v>81</v>
      </c>
      <c r="D226" s="4" t="s">
        <v>0</v>
      </c>
      <c r="E226" s="4" t="s">
        <v>41</v>
      </c>
      <c r="F226" s="4" t="s">
        <v>66</v>
      </c>
      <c r="J226" s="2"/>
    </row>
    <row r="227" spans="1:10" x14ac:dyDescent="0.3">
      <c r="A227" s="7">
        <v>3</v>
      </c>
      <c r="B227" s="4">
        <v>2</v>
      </c>
      <c r="C227" s="25" t="s">
        <v>80</v>
      </c>
      <c r="D227" s="4" t="s">
        <v>40</v>
      </c>
      <c r="E227" s="4" t="s">
        <v>10</v>
      </c>
      <c r="F227" s="4" t="s">
        <v>66</v>
      </c>
      <c r="J227" s="2"/>
    </row>
    <row r="228" spans="1:10" x14ac:dyDescent="0.3">
      <c r="A228" s="7">
        <v>3</v>
      </c>
      <c r="B228" s="10">
        <v>2</v>
      </c>
      <c r="C228" s="26" t="s">
        <v>80</v>
      </c>
      <c r="D228" s="10" t="s">
        <v>29</v>
      </c>
      <c r="E228" s="4" t="s">
        <v>42</v>
      </c>
      <c r="F228" s="4" t="s">
        <v>58</v>
      </c>
      <c r="J228" s="2"/>
    </row>
    <row r="229" spans="1:10" x14ac:dyDescent="0.3">
      <c r="A229" s="7">
        <v>3</v>
      </c>
      <c r="B229" s="4">
        <v>2</v>
      </c>
      <c r="C229" s="25" t="s">
        <v>80</v>
      </c>
      <c r="D229" s="4" t="s">
        <v>0</v>
      </c>
      <c r="E229" s="4" t="s">
        <v>41</v>
      </c>
      <c r="F229" s="4" t="s">
        <v>65</v>
      </c>
      <c r="J229" s="2"/>
    </row>
    <row r="230" spans="1:10" x14ac:dyDescent="0.3">
      <c r="A230" s="7">
        <v>3</v>
      </c>
      <c r="B230" s="4">
        <v>2</v>
      </c>
      <c r="C230" s="25" t="s">
        <v>80</v>
      </c>
      <c r="D230" s="4" t="s">
        <v>40</v>
      </c>
      <c r="E230" s="4" t="s">
        <v>9</v>
      </c>
      <c r="F230" s="4" t="s">
        <v>65</v>
      </c>
      <c r="J230" s="2"/>
    </row>
    <row r="231" spans="1:10" x14ac:dyDescent="0.3">
      <c r="A231" s="7">
        <v>3</v>
      </c>
      <c r="B231" s="10">
        <v>1</v>
      </c>
      <c r="C231" s="10" t="s">
        <v>81</v>
      </c>
      <c r="D231" s="10" t="s">
        <v>29</v>
      </c>
      <c r="E231" s="4" t="s">
        <v>42</v>
      </c>
      <c r="F231" s="4" t="s">
        <v>52</v>
      </c>
      <c r="J231" s="2"/>
    </row>
    <row r="232" spans="1:10" x14ac:dyDescent="0.3">
      <c r="A232" s="7">
        <v>3</v>
      </c>
      <c r="B232" s="10">
        <v>1</v>
      </c>
      <c r="C232" s="10" t="s">
        <v>81</v>
      </c>
      <c r="D232" s="10" t="s">
        <v>29</v>
      </c>
      <c r="E232" s="4" t="s">
        <v>42</v>
      </c>
      <c r="F232" s="4" t="s">
        <v>57</v>
      </c>
      <c r="J232" s="2"/>
    </row>
    <row r="233" spans="1:10" x14ac:dyDescent="0.3">
      <c r="A233" s="7">
        <v>3</v>
      </c>
      <c r="B233" s="4">
        <v>2</v>
      </c>
      <c r="C233" s="4" t="s">
        <v>80</v>
      </c>
      <c r="D233" s="4" t="s">
        <v>0</v>
      </c>
      <c r="E233" s="4" t="s">
        <v>41</v>
      </c>
      <c r="F233" s="4" t="s">
        <v>59</v>
      </c>
      <c r="J233" s="2"/>
    </row>
    <row r="234" spans="1:10" x14ac:dyDescent="0.3">
      <c r="A234" s="7">
        <v>3</v>
      </c>
      <c r="B234" s="4">
        <v>2</v>
      </c>
      <c r="C234" s="4" t="s">
        <v>80</v>
      </c>
      <c r="D234" s="4" t="s">
        <v>40</v>
      </c>
      <c r="E234" s="4" t="s">
        <v>9</v>
      </c>
      <c r="F234" s="4" t="s">
        <v>59</v>
      </c>
      <c r="J234" s="2"/>
    </row>
    <row r="235" spans="1:10" x14ac:dyDescent="0.3">
      <c r="A235" s="7">
        <v>3</v>
      </c>
      <c r="B235" s="4">
        <v>2</v>
      </c>
      <c r="C235" s="4" t="s">
        <v>80</v>
      </c>
      <c r="D235" s="4" t="s">
        <v>0</v>
      </c>
      <c r="E235" s="4" t="s">
        <v>41</v>
      </c>
      <c r="F235" s="4" t="s">
        <v>61</v>
      </c>
      <c r="J235" s="2"/>
    </row>
    <row r="236" spans="1:10" x14ac:dyDescent="0.3">
      <c r="A236" s="7">
        <v>3</v>
      </c>
      <c r="B236" s="4">
        <v>1</v>
      </c>
      <c r="C236" s="4" t="s">
        <v>81</v>
      </c>
      <c r="D236" s="4" t="s">
        <v>40</v>
      </c>
      <c r="E236" s="4" t="s">
        <v>10</v>
      </c>
      <c r="F236" s="4" t="s">
        <v>61</v>
      </c>
      <c r="J236" s="2"/>
    </row>
    <row r="237" spans="1:10" x14ac:dyDescent="0.3">
      <c r="A237" s="7">
        <v>3</v>
      </c>
      <c r="B237" s="10">
        <v>2</v>
      </c>
      <c r="C237" s="10" t="s">
        <v>80</v>
      </c>
      <c r="D237" s="10" t="s">
        <v>29</v>
      </c>
      <c r="E237" s="4" t="s">
        <v>42</v>
      </c>
      <c r="F237" s="4" t="s">
        <v>55</v>
      </c>
      <c r="J237" s="2"/>
    </row>
    <row r="238" spans="1:10" x14ac:dyDescent="0.3">
      <c r="A238" s="7">
        <v>3</v>
      </c>
      <c r="B238" s="4">
        <v>1</v>
      </c>
      <c r="C238" s="4" t="s">
        <v>81</v>
      </c>
      <c r="D238" s="4" t="s">
        <v>0</v>
      </c>
      <c r="E238" s="4" t="s">
        <v>41</v>
      </c>
      <c r="F238" s="4" t="s">
        <v>63</v>
      </c>
      <c r="J238" s="2"/>
    </row>
    <row r="239" spans="1:10" x14ac:dyDescent="0.3">
      <c r="A239" s="7">
        <v>3</v>
      </c>
      <c r="B239" s="4">
        <v>1</v>
      </c>
      <c r="C239" s="4" t="s">
        <v>81</v>
      </c>
      <c r="D239" s="4" t="s">
        <v>40</v>
      </c>
      <c r="E239" s="4" t="s">
        <v>9</v>
      </c>
      <c r="F239" s="4" t="s">
        <v>63</v>
      </c>
      <c r="J239" s="2"/>
    </row>
    <row r="240" spans="1:10" x14ac:dyDescent="0.3">
      <c r="A240" s="7">
        <v>3</v>
      </c>
      <c r="B240" s="10">
        <v>2</v>
      </c>
      <c r="C240" s="10" t="s">
        <v>80</v>
      </c>
      <c r="D240" s="10" t="s">
        <v>29</v>
      </c>
      <c r="E240" s="4" t="s">
        <v>42</v>
      </c>
      <c r="F240" s="4" t="s">
        <v>51</v>
      </c>
    </row>
    <row r="241" spans="1:12" x14ac:dyDescent="0.3">
      <c r="A241" s="7">
        <v>3</v>
      </c>
      <c r="B241" s="4">
        <v>1</v>
      </c>
      <c r="C241" s="25" t="s">
        <v>81</v>
      </c>
      <c r="D241" s="4" t="s">
        <v>0</v>
      </c>
      <c r="E241" s="4" t="s">
        <v>41</v>
      </c>
      <c r="F241" s="4" t="s">
        <v>60</v>
      </c>
    </row>
    <row r="242" spans="1:12" x14ac:dyDescent="0.3">
      <c r="A242" s="7">
        <v>3</v>
      </c>
      <c r="B242" s="4">
        <v>1</v>
      </c>
      <c r="C242" s="25" t="s">
        <v>81</v>
      </c>
      <c r="D242" s="4" t="s">
        <v>40</v>
      </c>
      <c r="E242" s="4" t="s">
        <v>9</v>
      </c>
      <c r="F242" s="4" t="s">
        <v>60</v>
      </c>
    </row>
    <row r="243" spans="1:12" x14ac:dyDescent="0.3">
      <c r="A243" s="7">
        <v>3</v>
      </c>
      <c r="B243" s="10">
        <v>1</v>
      </c>
      <c r="C243" s="26" t="s">
        <v>81</v>
      </c>
      <c r="D243" s="10" t="s">
        <v>29</v>
      </c>
      <c r="E243" s="4" t="s">
        <v>42</v>
      </c>
      <c r="F243" s="4" t="s">
        <v>53</v>
      </c>
    </row>
    <row r="244" spans="1:12" x14ac:dyDescent="0.3">
      <c r="A244" s="7">
        <v>3</v>
      </c>
      <c r="B244" s="7">
        <v>1</v>
      </c>
      <c r="C244" s="23" t="s">
        <v>81</v>
      </c>
      <c r="D244" s="4" t="s">
        <v>0</v>
      </c>
      <c r="E244" s="4" t="s">
        <v>41</v>
      </c>
      <c r="F244" s="4" t="s">
        <v>62</v>
      </c>
    </row>
    <row r="245" spans="1:12" x14ac:dyDescent="0.3">
      <c r="A245" s="7">
        <v>3</v>
      </c>
      <c r="B245" s="7">
        <v>2</v>
      </c>
      <c r="C245" s="7" t="s">
        <v>80</v>
      </c>
      <c r="D245" s="4" t="s">
        <v>40</v>
      </c>
      <c r="E245" s="4" t="s">
        <v>10</v>
      </c>
      <c r="F245" s="4" t="s">
        <v>62</v>
      </c>
      <c r="L245" s="2"/>
    </row>
    <row r="246" spans="1:12" x14ac:dyDescent="0.3">
      <c r="A246" s="7">
        <v>3</v>
      </c>
      <c r="B246" s="10">
        <v>2</v>
      </c>
      <c r="C246" s="10" t="s">
        <v>80</v>
      </c>
      <c r="D246" s="10" t="s">
        <v>29</v>
      </c>
      <c r="E246" s="4" t="s">
        <v>42</v>
      </c>
      <c r="F246" s="4" t="s">
        <v>52</v>
      </c>
      <c r="J246" s="2"/>
      <c r="L246" s="2"/>
    </row>
    <row r="247" spans="1:12" x14ac:dyDescent="0.3">
      <c r="A247" s="7">
        <v>3</v>
      </c>
      <c r="B247" s="10">
        <v>1</v>
      </c>
      <c r="C247" s="10" t="s">
        <v>81</v>
      </c>
      <c r="D247" s="10" t="s">
        <v>29</v>
      </c>
      <c r="E247" s="4" t="s">
        <v>42</v>
      </c>
      <c r="F247" s="4" t="s">
        <v>53</v>
      </c>
      <c r="J247" s="2"/>
      <c r="L247" s="2"/>
    </row>
    <row r="248" spans="1:12" x14ac:dyDescent="0.3">
      <c r="A248" s="7">
        <v>3</v>
      </c>
      <c r="B248" s="7">
        <v>2</v>
      </c>
      <c r="C248" s="7" t="s">
        <v>80</v>
      </c>
      <c r="D248" s="4" t="s">
        <v>0</v>
      </c>
      <c r="E248" s="4" t="s">
        <v>41</v>
      </c>
      <c r="F248" s="4" t="s">
        <v>65</v>
      </c>
      <c r="J248" s="2"/>
      <c r="L248" s="2"/>
    </row>
    <row r="249" spans="1:12" x14ac:dyDescent="0.3">
      <c r="A249" s="7">
        <v>3</v>
      </c>
      <c r="B249" s="7">
        <v>1</v>
      </c>
      <c r="C249" s="7" t="s">
        <v>81</v>
      </c>
      <c r="D249" s="4" t="s">
        <v>40</v>
      </c>
      <c r="E249" s="4" t="s">
        <v>10</v>
      </c>
      <c r="F249" s="4" t="s">
        <v>65</v>
      </c>
      <c r="J249" s="2"/>
      <c r="L249" s="2"/>
    </row>
    <row r="250" spans="1:12" x14ac:dyDescent="0.3">
      <c r="A250" s="7">
        <v>3</v>
      </c>
      <c r="B250" s="7">
        <v>1</v>
      </c>
      <c r="C250" s="7" t="s">
        <v>81</v>
      </c>
      <c r="D250" s="4" t="s">
        <v>0</v>
      </c>
      <c r="E250" s="4" t="s">
        <v>41</v>
      </c>
      <c r="F250" s="4" t="s">
        <v>60</v>
      </c>
      <c r="J250" s="3"/>
      <c r="L250" s="2"/>
    </row>
    <row r="251" spans="1:12" x14ac:dyDescent="0.3">
      <c r="A251" s="7">
        <v>3</v>
      </c>
      <c r="B251" s="7">
        <v>2</v>
      </c>
      <c r="C251" s="7" t="s">
        <v>80</v>
      </c>
      <c r="D251" s="4" t="s">
        <v>40</v>
      </c>
      <c r="E251" s="4" t="s">
        <v>10</v>
      </c>
      <c r="F251" s="4" t="s">
        <v>60</v>
      </c>
      <c r="J251" s="3"/>
      <c r="L251" s="2"/>
    </row>
    <row r="252" spans="1:12" x14ac:dyDescent="0.3">
      <c r="A252" s="7">
        <v>3</v>
      </c>
      <c r="B252" s="10">
        <v>1</v>
      </c>
      <c r="C252" s="10" t="s">
        <v>81</v>
      </c>
      <c r="D252" s="10" t="s">
        <v>29</v>
      </c>
      <c r="E252" s="4" t="s">
        <v>42</v>
      </c>
      <c r="F252" s="4" t="s">
        <v>55</v>
      </c>
      <c r="J252" s="3"/>
      <c r="L252" s="2"/>
    </row>
    <row r="253" spans="1:12" x14ac:dyDescent="0.3">
      <c r="A253" s="7">
        <v>3</v>
      </c>
      <c r="B253" s="7">
        <v>2</v>
      </c>
      <c r="C253" s="7" t="s">
        <v>80</v>
      </c>
      <c r="D253" s="4" t="s">
        <v>0</v>
      </c>
      <c r="E253" s="4" t="s">
        <v>41</v>
      </c>
      <c r="F253" s="4" t="s">
        <v>64</v>
      </c>
      <c r="J253" s="3"/>
      <c r="L253" s="2"/>
    </row>
    <row r="254" spans="1:12" x14ac:dyDescent="0.3">
      <c r="A254" s="7">
        <v>3</v>
      </c>
      <c r="B254" s="7">
        <v>2</v>
      </c>
      <c r="C254" s="7" t="s">
        <v>80</v>
      </c>
      <c r="D254" s="4" t="s">
        <v>40</v>
      </c>
      <c r="E254" s="4" t="s">
        <v>9</v>
      </c>
      <c r="F254" s="4" t="s">
        <v>64</v>
      </c>
      <c r="J254" s="2"/>
      <c r="L254" s="2"/>
    </row>
    <row r="255" spans="1:12" x14ac:dyDescent="0.3">
      <c r="A255" s="7">
        <v>3</v>
      </c>
      <c r="B255" s="10">
        <v>1</v>
      </c>
      <c r="C255" s="10" t="s">
        <v>81</v>
      </c>
      <c r="D255" s="10" t="s">
        <v>29</v>
      </c>
      <c r="E255" s="4" t="s">
        <v>42</v>
      </c>
      <c r="F255" s="4" t="s">
        <v>54</v>
      </c>
      <c r="J255" s="2"/>
      <c r="L255" s="2"/>
    </row>
    <row r="256" spans="1:12" x14ac:dyDescent="0.3">
      <c r="A256" s="7">
        <v>3</v>
      </c>
      <c r="B256" s="10">
        <v>2</v>
      </c>
      <c r="C256" s="10" t="s">
        <v>80</v>
      </c>
      <c r="D256" s="10" t="s">
        <v>29</v>
      </c>
      <c r="E256" s="4" t="s">
        <v>42</v>
      </c>
      <c r="F256" s="4" t="s">
        <v>51</v>
      </c>
      <c r="J256" s="2"/>
      <c r="L256" s="2"/>
    </row>
    <row r="257" spans="1:12" x14ac:dyDescent="0.3">
      <c r="A257" s="7">
        <v>3</v>
      </c>
      <c r="B257" s="10">
        <v>1</v>
      </c>
      <c r="C257" s="10" t="s">
        <v>81</v>
      </c>
      <c r="D257" s="10" t="s">
        <v>29</v>
      </c>
      <c r="E257" s="4" t="s">
        <v>42</v>
      </c>
      <c r="F257" s="4" t="s">
        <v>57</v>
      </c>
      <c r="J257" s="2"/>
      <c r="L257" s="2"/>
    </row>
    <row r="258" spans="1:12" x14ac:dyDescent="0.3">
      <c r="A258" s="7">
        <v>3</v>
      </c>
      <c r="B258" s="7">
        <v>2</v>
      </c>
      <c r="C258" s="7" t="s">
        <v>80</v>
      </c>
      <c r="D258" s="4" t="s">
        <v>0</v>
      </c>
      <c r="E258" s="4" t="s">
        <v>41</v>
      </c>
      <c r="F258" s="4" t="s">
        <v>66</v>
      </c>
      <c r="J258" s="2"/>
      <c r="L258" s="2"/>
    </row>
    <row r="259" spans="1:12" x14ac:dyDescent="0.3">
      <c r="A259" s="7">
        <v>3</v>
      </c>
      <c r="B259" s="7">
        <v>2</v>
      </c>
      <c r="C259" s="7" t="s">
        <v>80</v>
      </c>
      <c r="D259" s="4" t="s">
        <v>40</v>
      </c>
      <c r="E259" s="4" t="s">
        <v>9</v>
      </c>
      <c r="F259" s="4" t="s">
        <v>66</v>
      </c>
      <c r="J259" s="2"/>
      <c r="L259" s="2"/>
    </row>
    <row r="260" spans="1:12" x14ac:dyDescent="0.3">
      <c r="A260" s="7">
        <v>3</v>
      </c>
      <c r="B260" s="7">
        <v>2</v>
      </c>
      <c r="C260" s="7" t="s">
        <v>80</v>
      </c>
      <c r="D260" s="4" t="s">
        <v>0</v>
      </c>
      <c r="E260" s="4" t="s">
        <v>41</v>
      </c>
      <c r="F260" s="4" t="s">
        <v>63</v>
      </c>
      <c r="J260" s="2"/>
      <c r="L260" s="2"/>
    </row>
    <row r="261" spans="1:12" x14ac:dyDescent="0.3">
      <c r="A261" s="7">
        <v>3</v>
      </c>
      <c r="B261" s="7">
        <v>1</v>
      </c>
      <c r="C261" s="7" t="s">
        <v>81</v>
      </c>
      <c r="D261" s="4" t="s">
        <v>40</v>
      </c>
      <c r="E261" s="4" t="s">
        <v>10</v>
      </c>
      <c r="F261" s="4" t="s">
        <v>63</v>
      </c>
      <c r="J261" s="2"/>
    </row>
    <row r="262" spans="1:12" x14ac:dyDescent="0.3">
      <c r="A262" s="7">
        <v>3</v>
      </c>
      <c r="B262" s="10">
        <v>2</v>
      </c>
      <c r="C262" s="10" t="s">
        <v>80</v>
      </c>
      <c r="D262" s="10" t="s">
        <v>29</v>
      </c>
      <c r="E262" s="4" t="s">
        <v>42</v>
      </c>
      <c r="F262" s="4" t="s">
        <v>58</v>
      </c>
    </row>
    <row r="263" spans="1:12" x14ac:dyDescent="0.3">
      <c r="A263" s="7">
        <v>3</v>
      </c>
      <c r="B263" s="7">
        <v>1</v>
      </c>
      <c r="C263" s="7" t="s">
        <v>81</v>
      </c>
      <c r="D263" s="4" t="s">
        <v>0</v>
      </c>
      <c r="E263" s="4" t="s">
        <v>41</v>
      </c>
      <c r="F263" s="4" t="s">
        <v>61</v>
      </c>
    </row>
    <row r="264" spans="1:12" x14ac:dyDescent="0.3">
      <c r="A264" s="7">
        <v>3</v>
      </c>
      <c r="B264" s="7">
        <v>1</v>
      </c>
      <c r="C264" s="7" t="s">
        <v>81</v>
      </c>
      <c r="D264" s="4" t="s">
        <v>40</v>
      </c>
      <c r="E264" s="4" t="s">
        <v>9</v>
      </c>
      <c r="F264" s="4" t="s">
        <v>61</v>
      </c>
    </row>
    <row r="265" spans="1:12" x14ac:dyDescent="0.3">
      <c r="A265" s="7">
        <v>3</v>
      </c>
      <c r="B265" s="10">
        <v>2</v>
      </c>
      <c r="C265" s="10" t="s">
        <v>80</v>
      </c>
      <c r="D265" s="10" t="s">
        <v>29</v>
      </c>
      <c r="E265" s="4" t="s">
        <v>42</v>
      </c>
      <c r="F265" s="4" t="s">
        <v>56</v>
      </c>
    </row>
    <row r="266" spans="1:12" x14ac:dyDescent="0.3">
      <c r="A266" s="7">
        <v>3</v>
      </c>
      <c r="B266" s="7">
        <v>1</v>
      </c>
      <c r="C266" s="7" t="s">
        <v>81</v>
      </c>
      <c r="D266" s="4" t="s">
        <v>0</v>
      </c>
      <c r="E266" s="4" t="s">
        <v>41</v>
      </c>
      <c r="F266" s="4" t="s">
        <v>59</v>
      </c>
    </row>
    <row r="267" spans="1:12" x14ac:dyDescent="0.3">
      <c r="A267" s="7">
        <v>3</v>
      </c>
      <c r="B267" s="7">
        <v>1</v>
      </c>
      <c r="C267" s="7" t="s">
        <v>81</v>
      </c>
      <c r="D267" s="4" t="s">
        <v>40</v>
      </c>
      <c r="E267" s="4" t="s">
        <v>9</v>
      </c>
      <c r="F267" s="4" t="s">
        <v>59</v>
      </c>
    </row>
    <row r="268" spans="1:12" x14ac:dyDescent="0.3">
      <c r="A268" s="7">
        <v>3</v>
      </c>
      <c r="B268" s="4">
        <v>1</v>
      </c>
      <c r="C268" s="4" t="s">
        <v>81</v>
      </c>
      <c r="D268" s="4" t="s">
        <v>0</v>
      </c>
      <c r="E268" s="4" t="s">
        <v>41</v>
      </c>
      <c r="F268" s="4" t="s">
        <v>63</v>
      </c>
    </row>
    <row r="269" spans="1:12" x14ac:dyDescent="0.3">
      <c r="A269" s="7">
        <v>3</v>
      </c>
      <c r="B269" s="4">
        <v>2</v>
      </c>
      <c r="C269" s="4" t="s">
        <v>80</v>
      </c>
      <c r="D269" s="4" t="s">
        <v>40</v>
      </c>
      <c r="E269" s="4" t="s">
        <v>10</v>
      </c>
      <c r="F269" s="4" t="s">
        <v>63</v>
      </c>
    </row>
    <row r="270" spans="1:12" x14ac:dyDescent="0.3">
      <c r="A270" s="7">
        <v>3</v>
      </c>
      <c r="B270" s="4">
        <v>2</v>
      </c>
      <c r="C270" s="4" t="s">
        <v>80</v>
      </c>
      <c r="D270" s="4" t="s">
        <v>0</v>
      </c>
      <c r="E270" s="4" t="s">
        <v>41</v>
      </c>
      <c r="F270" s="4" t="s">
        <v>59</v>
      </c>
    </row>
    <row r="271" spans="1:12" x14ac:dyDescent="0.3">
      <c r="A271" s="7">
        <v>3</v>
      </c>
      <c r="B271" s="4">
        <v>1</v>
      </c>
      <c r="C271" s="4" t="s">
        <v>81</v>
      </c>
      <c r="D271" s="4" t="s">
        <v>40</v>
      </c>
      <c r="E271" s="4" t="s">
        <v>10</v>
      </c>
      <c r="F271" s="4" t="s">
        <v>59</v>
      </c>
      <c r="L271" s="2"/>
    </row>
    <row r="272" spans="1:12" x14ac:dyDescent="0.3">
      <c r="A272" s="7">
        <v>3</v>
      </c>
      <c r="B272" s="10">
        <v>2</v>
      </c>
      <c r="C272" s="10" t="s">
        <v>80</v>
      </c>
      <c r="D272" s="10" t="s">
        <v>29</v>
      </c>
      <c r="E272" s="4" t="s">
        <v>42</v>
      </c>
      <c r="F272" s="4" t="s">
        <v>51</v>
      </c>
      <c r="J272" s="2"/>
      <c r="L272" s="2"/>
    </row>
    <row r="273" spans="1:12" x14ac:dyDescent="0.3">
      <c r="A273" s="7">
        <v>3</v>
      </c>
      <c r="B273" s="10">
        <v>1</v>
      </c>
      <c r="C273" s="10" t="s">
        <v>81</v>
      </c>
      <c r="D273" s="10" t="s">
        <v>29</v>
      </c>
      <c r="E273" s="4" t="s">
        <v>42</v>
      </c>
      <c r="F273" s="4" t="s">
        <v>55</v>
      </c>
      <c r="J273" s="2"/>
      <c r="L273" s="2"/>
    </row>
    <row r="274" spans="1:12" x14ac:dyDescent="0.3">
      <c r="A274" s="7">
        <v>3</v>
      </c>
      <c r="B274" s="4">
        <v>1</v>
      </c>
      <c r="C274" s="4" t="s">
        <v>81</v>
      </c>
      <c r="D274" s="4" t="s">
        <v>0</v>
      </c>
      <c r="E274" s="4" t="s">
        <v>41</v>
      </c>
      <c r="F274" s="4" t="s">
        <v>65</v>
      </c>
      <c r="J274" s="2"/>
      <c r="L274" s="2"/>
    </row>
    <row r="275" spans="1:12" x14ac:dyDescent="0.3">
      <c r="A275" s="7">
        <v>3</v>
      </c>
      <c r="B275" s="4">
        <v>2</v>
      </c>
      <c r="C275" s="4" t="s">
        <v>80</v>
      </c>
      <c r="D275" s="4" t="s">
        <v>40</v>
      </c>
      <c r="E275" s="4" t="s">
        <v>10</v>
      </c>
      <c r="F275" s="4" t="s">
        <v>65</v>
      </c>
      <c r="J275" s="2"/>
      <c r="L275" s="2"/>
    </row>
    <row r="276" spans="1:12" x14ac:dyDescent="0.3">
      <c r="A276" s="7">
        <v>3</v>
      </c>
      <c r="B276" s="10">
        <v>1</v>
      </c>
      <c r="C276" s="10" t="s">
        <v>81</v>
      </c>
      <c r="D276" s="10" t="s">
        <v>29</v>
      </c>
      <c r="E276" s="4" t="s">
        <v>42</v>
      </c>
      <c r="F276" s="4" t="s">
        <v>53</v>
      </c>
      <c r="J276" s="2"/>
      <c r="L276" s="2"/>
    </row>
    <row r="277" spans="1:12" x14ac:dyDescent="0.3">
      <c r="A277" s="7">
        <v>3</v>
      </c>
      <c r="B277" s="4">
        <v>2</v>
      </c>
      <c r="C277" s="4" t="s">
        <v>80</v>
      </c>
      <c r="D277" s="4" t="s">
        <v>0</v>
      </c>
      <c r="E277" s="4" t="s">
        <v>41</v>
      </c>
      <c r="F277" s="4" t="s">
        <v>61</v>
      </c>
      <c r="J277" s="2"/>
      <c r="L277" s="2"/>
    </row>
    <row r="278" spans="1:12" x14ac:dyDescent="0.3">
      <c r="A278" s="7">
        <v>3</v>
      </c>
      <c r="B278" s="4">
        <v>2</v>
      </c>
      <c r="C278" s="4" t="s">
        <v>80</v>
      </c>
      <c r="D278" s="4" t="s">
        <v>40</v>
      </c>
      <c r="E278" s="4" t="s">
        <v>9</v>
      </c>
      <c r="F278" s="4" t="s">
        <v>61</v>
      </c>
      <c r="J278" s="2"/>
      <c r="L278" s="2"/>
    </row>
    <row r="279" spans="1:12" x14ac:dyDescent="0.3">
      <c r="A279" s="7">
        <v>3</v>
      </c>
      <c r="B279" s="10">
        <v>1</v>
      </c>
      <c r="C279" s="10" t="s">
        <v>81</v>
      </c>
      <c r="D279" s="10" t="s">
        <v>29</v>
      </c>
      <c r="E279" s="4" t="s">
        <v>42</v>
      </c>
      <c r="F279" s="4" t="s">
        <v>57</v>
      </c>
      <c r="J279" s="2"/>
      <c r="L279" s="2"/>
    </row>
    <row r="280" spans="1:12" x14ac:dyDescent="0.3">
      <c r="A280" s="7">
        <v>3</v>
      </c>
      <c r="B280" s="10">
        <v>1</v>
      </c>
      <c r="C280" s="10" t="s">
        <v>81</v>
      </c>
      <c r="D280" s="10" t="s">
        <v>29</v>
      </c>
      <c r="E280" s="4" t="s">
        <v>42</v>
      </c>
      <c r="F280" s="4" t="s">
        <v>52</v>
      </c>
      <c r="J280" s="2"/>
      <c r="L280" s="2"/>
    </row>
    <row r="281" spans="1:12" x14ac:dyDescent="0.3">
      <c r="A281" s="7">
        <v>3</v>
      </c>
      <c r="B281" s="4">
        <v>2</v>
      </c>
      <c r="C281" s="4" t="s">
        <v>80</v>
      </c>
      <c r="D281" s="4" t="s">
        <v>0</v>
      </c>
      <c r="E281" s="4" t="s">
        <v>41</v>
      </c>
      <c r="F281" s="4" t="s">
        <v>60</v>
      </c>
      <c r="J281" s="2"/>
      <c r="L281" s="2"/>
    </row>
    <row r="282" spans="1:12" x14ac:dyDescent="0.3">
      <c r="A282" s="7">
        <v>3</v>
      </c>
      <c r="B282" s="4">
        <v>2</v>
      </c>
      <c r="C282" s="4" t="s">
        <v>80</v>
      </c>
      <c r="D282" s="4" t="s">
        <v>40</v>
      </c>
      <c r="E282" s="4" t="s">
        <v>9</v>
      </c>
      <c r="F282" s="4" t="s">
        <v>60</v>
      </c>
      <c r="J282" s="2"/>
      <c r="L282" s="2"/>
    </row>
    <row r="283" spans="1:12" x14ac:dyDescent="0.3">
      <c r="A283" s="7">
        <v>3</v>
      </c>
      <c r="B283" s="4">
        <v>2</v>
      </c>
      <c r="C283" s="4" t="s">
        <v>80</v>
      </c>
      <c r="D283" s="4" t="s">
        <v>0</v>
      </c>
      <c r="E283" s="4" t="s">
        <v>41</v>
      </c>
      <c r="F283" s="4" t="s">
        <v>66</v>
      </c>
      <c r="J283" s="2"/>
      <c r="L283" s="2"/>
    </row>
    <row r="284" spans="1:12" x14ac:dyDescent="0.3">
      <c r="A284" s="7">
        <v>3</v>
      </c>
      <c r="B284" s="4">
        <v>1</v>
      </c>
      <c r="C284" s="4" t="s">
        <v>81</v>
      </c>
      <c r="D284" s="4" t="s">
        <v>40</v>
      </c>
      <c r="E284" s="4" t="s">
        <v>10</v>
      </c>
      <c r="F284" s="4" t="s">
        <v>66</v>
      </c>
      <c r="J284" s="2"/>
      <c r="L284" s="2"/>
    </row>
    <row r="285" spans="1:12" x14ac:dyDescent="0.3">
      <c r="A285" s="7">
        <v>3</v>
      </c>
      <c r="B285" s="10">
        <v>2</v>
      </c>
      <c r="C285" s="10" t="s">
        <v>80</v>
      </c>
      <c r="D285" s="10" t="s">
        <v>29</v>
      </c>
      <c r="E285" s="4" t="s">
        <v>42</v>
      </c>
      <c r="F285" s="4" t="s">
        <v>56</v>
      </c>
      <c r="J285" s="2"/>
      <c r="L285" s="2"/>
    </row>
    <row r="286" spans="1:12" x14ac:dyDescent="0.3">
      <c r="A286" s="7">
        <v>3</v>
      </c>
      <c r="B286" s="10">
        <v>2</v>
      </c>
      <c r="C286" s="10" t="s">
        <v>80</v>
      </c>
      <c r="D286" s="10" t="s">
        <v>29</v>
      </c>
      <c r="E286" s="4" t="s">
        <v>42</v>
      </c>
      <c r="F286" s="4" t="s">
        <v>54</v>
      </c>
      <c r="J286" s="2"/>
      <c r="L286" s="2"/>
    </row>
    <row r="287" spans="1:12" x14ac:dyDescent="0.3">
      <c r="A287" s="7">
        <v>3</v>
      </c>
      <c r="B287" s="4">
        <v>1</v>
      </c>
      <c r="C287" s="4" t="s">
        <v>81</v>
      </c>
      <c r="D287" s="4" t="s">
        <v>0</v>
      </c>
      <c r="E287" s="4" t="s">
        <v>41</v>
      </c>
      <c r="F287" s="4" t="s">
        <v>64</v>
      </c>
      <c r="J287" s="2"/>
    </row>
    <row r="288" spans="1:12" x14ac:dyDescent="0.3">
      <c r="A288" s="7">
        <v>3</v>
      </c>
      <c r="B288" s="4">
        <v>1</v>
      </c>
      <c r="C288" s="4" t="s">
        <v>81</v>
      </c>
      <c r="D288" s="4" t="s">
        <v>40</v>
      </c>
      <c r="E288" s="4" t="s">
        <v>9</v>
      </c>
      <c r="F288" s="4" t="s">
        <v>64</v>
      </c>
    </row>
    <row r="289" spans="1:8" x14ac:dyDescent="0.3">
      <c r="A289" s="7">
        <v>3</v>
      </c>
      <c r="B289" s="10">
        <v>2</v>
      </c>
      <c r="C289" s="10" t="s">
        <v>80</v>
      </c>
      <c r="D289" s="10" t="s">
        <v>29</v>
      </c>
      <c r="E289" s="4" t="s">
        <v>42</v>
      </c>
      <c r="F289" s="4" t="s">
        <v>58</v>
      </c>
    </row>
    <row r="290" spans="1:8" x14ac:dyDescent="0.3">
      <c r="A290" s="7">
        <v>3</v>
      </c>
      <c r="B290" s="4">
        <v>1</v>
      </c>
      <c r="C290" s="4" t="s">
        <v>81</v>
      </c>
      <c r="D290" s="4" t="s">
        <v>0</v>
      </c>
      <c r="E290" s="4" t="s">
        <v>41</v>
      </c>
      <c r="F290" s="4" t="s">
        <v>62</v>
      </c>
    </row>
    <row r="291" spans="1:8" x14ac:dyDescent="0.3">
      <c r="A291" s="7">
        <v>3</v>
      </c>
      <c r="B291" s="4">
        <v>1</v>
      </c>
      <c r="C291" s="4" t="s">
        <v>81</v>
      </c>
      <c r="D291" s="4" t="s">
        <v>40</v>
      </c>
      <c r="E291" s="4" t="s">
        <v>9</v>
      </c>
      <c r="F291" s="4" t="s">
        <v>62</v>
      </c>
    </row>
    <row r="292" spans="1:8" x14ac:dyDescent="0.3">
      <c r="A292" s="4"/>
      <c r="B292" s="4" t="s">
        <v>25</v>
      </c>
      <c r="C292" s="4"/>
      <c r="D292" s="4"/>
      <c r="E292" s="4"/>
      <c r="F292" s="4"/>
    </row>
    <row r="293" spans="1:8" x14ac:dyDescent="0.3">
      <c r="A293" s="4">
        <v>4</v>
      </c>
      <c r="B293" s="11">
        <v>2</v>
      </c>
      <c r="C293" s="11" t="s">
        <v>80</v>
      </c>
      <c r="D293" s="11" t="s">
        <v>29</v>
      </c>
      <c r="E293" s="4" t="s">
        <v>42</v>
      </c>
      <c r="F293" s="4" t="s">
        <v>59</v>
      </c>
      <c r="H293" s="2"/>
    </row>
    <row r="294" spans="1:8" x14ac:dyDescent="0.3">
      <c r="A294" s="4">
        <v>4</v>
      </c>
      <c r="B294" s="7">
        <v>1</v>
      </c>
      <c r="C294" s="7" t="s">
        <v>81</v>
      </c>
      <c r="D294" s="4" t="s">
        <v>0</v>
      </c>
      <c r="E294" s="4" t="s">
        <v>41</v>
      </c>
      <c r="F294" s="4" t="s">
        <v>74</v>
      </c>
      <c r="H294" s="2"/>
    </row>
    <row r="295" spans="1:8" x14ac:dyDescent="0.3">
      <c r="A295" s="4">
        <v>4</v>
      </c>
      <c r="B295" s="7">
        <v>1</v>
      </c>
      <c r="C295" s="7" t="s">
        <v>81</v>
      </c>
      <c r="D295" s="4" t="s">
        <v>40</v>
      </c>
      <c r="E295" s="4" t="s">
        <v>9</v>
      </c>
      <c r="F295" s="4" t="s">
        <v>74</v>
      </c>
      <c r="H295" s="2"/>
    </row>
    <row r="296" spans="1:8" x14ac:dyDescent="0.3">
      <c r="A296" s="4">
        <v>4</v>
      </c>
      <c r="B296" s="7">
        <v>1</v>
      </c>
      <c r="C296" s="7" t="s">
        <v>81</v>
      </c>
      <c r="D296" s="4" t="s">
        <v>0</v>
      </c>
      <c r="E296" s="4" t="s">
        <v>41</v>
      </c>
      <c r="F296" s="4" t="s">
        <v>73</v>
      </c>
      <c r="H296" s="2"/>
    </row>
    <row r="297" spans="1:8" x14ac:dyDescent="0.3">
      <c r="A297" s="4">
        <v>4</v>
      </c>
      <c r="B297" s="7">
        <v>2</v>
      </c>
      <c r="C297" s="7" t="s">
        <v>80</v>
      </c>
      <c r="D297" s="4" t="s">
        <v>40</v>
      </c>
      <c r="E297" s="4" t="s">
        <v>10</v>
      </c>
      <c r="F297" s="4" t="s">
        <v>73</v>
      </c>
      <c r="H297" s="2"/>
    </row>
    <row r="298" spans="1:8" x14ac:dyDescent="0.3">
      <c r="A298" s="4">
        <v>4</v>
      </c>
      <c r="B298" s="11">
        <v>1</v>
      </c>
      <c r="C298" s="11" t="s">
        <v>81</v>
      </c>
      <c r="D298" s="11" t="s">
        <v>29</v>
      </c>
      <c r="E298" s="4" t="s">
        <v>42</v>
      </c>
      <c r="F298" s="4" t="s">
        <v>60</v>
      </c>
      <c r="H298" s="2"/>
    </row>
    <row r="299" spans="1:8" x14ac:dyDescent="0.3">
      <c r="A299" s="4">
        <v>4</v>
      </c>
      <c r="B299" s="11">
        <v>1</v>
      </c>
      <c r="C299" s="11" t="s">
        <v>81</v>
      </c>
      <c r="D299" s="11" t="s">
        <v>29</v>
      </c>
      <c r="E299" s="4" t="s">
        <v>42</v>
      </c>
      <c r="F299" s="4" t="s">
        <v>61</v>
      </c>
      <c r="H299" s="2"/>
    </row>
    <row r="300" spans="1:8" x14ac:dyDescent="0.3">
      <c r="A300" s="4">
        <v>4</v>
      </c>
      <c r="B300" s="7">
        <v>2</v>
      </c>
      <c r="C300" s="7" t="s">
        <v>80</v>
      </c>
      <c r="D300" s="4" t="s">
        <v>0</v>
      </c>
      <c r="E300" s="4" t="s">
        <v>41</v>
      </c>
      <c r="F300" s="4" t="s">
        <v>72</v>
      </c>
      <c r="H300" s="2"/>
    </row>
    <row r="301" spans="1:8" x14ac:dyDescent="0.3">
      <c r="A301" s="4">
        <v>4</v>
      </c>
      <c r="B301" s="7">
        <v>2</v>
      </c>
      <c r="C301" s="7" t="s">
        <v>80</v>
      </c>
      <c r="D301" s="4" t="s">
        <v>40</v>
      </c>
      <c r="E301" s="4" t="s">
        <v>9</v>
      </c>
      <c r="F301" s="4" t="s">
        <v>72</v>
      </c>
      <c r="H301" s="2"/>
    </row>
    <row r="302" spans="1:8" x14ac:dyDescent="0.3">
      <c r="A302" s="4">
        <v>4</v>
      </c>
      <c r="B302" s="7">
        <v>2</v>
      </c>
      <c r="C302" s="7" t="s">
        <v>80</v>
      </c>
      <c r="D302" s="4" t="s">
        <v>0</v>
      </c>
      <c r="E302" s="4" t="s">
        <v>41</v>
      </c>
      <c r="F302" s="4" t="s">
        <v>71</v>
      </c>
      <c r="H302" s="2"/>
    </row>
    <row r="303" spans="1:8" x14ac:dyDescent="0.3">
      <c r="A303" s="4">
        <v>4</v>
      </c>
      <c r="B303" s="7">
        <v>1</v>
      </c>
      <c r="C303" s="7" t="s">
        <v>81</v>
      </c>
      <c r="D303" s="4" t="s">
        <v>40</v>
      </c>
      <c r="E303" s="4" t="s">
        <v>10</v>
      </c>
      <c r="F303" s="4" t="s">
        <v>71</v>
      </c>
      <c r="H303" s="2"/>
    </row>
    <row r="304" spans="1:8" x14ac:dyDescent="0.3">
      <c r="A304" s="4">
        <v>4</v>
      </c>
      <c r="B304" s="11">
        <v>2</v>
      </c>
      <c r="C304" s="11" t="s">
        <v>80</v>
      </c>
      <c r="D304" s="11" t="s">
        <v>29</v>
      </c>
      <c r="E304" s="4" t="s">
        <v>42</v>
      </c>
      <c r="F304" s="4" t="s">
        <v>62</v>
      </c>
      <c r="H304" s="2"/>
    </row>
    <row r="305" spans="1:11" x14ac:dyDescent="0.3">
      <c r="A305" s="4">
        <v>4</v>
      </c>
      <c r="B305" s="7">
        <v>1</v>
      </c>
      <c r="C305" s="7" t="s">
        <v>81</v>
      </c>
      <c r="D305" s="4" t="s">
        <v>0</v>
      </c>
      <c r="E305" s="4" t="s">
        <v>41</v>
      </c>
      <c r="F305" s="4" t="s">
        <v>70</v>
      </c>
      <c r="H305" s="2"/>
    </row>
    <row r="306" spans="1:11" x14ac:dyDescent="0.3">
      <c r="A306" s="4">
        <v>4</v>
      </c>
      <c r="B306" s="7">
        <v>2</v>
      </c>
      <c r="C306" s="7" t="s">
        <v>80</v>
      </c>
      <c r="D306" s="4" t="s">
        <v>40</v>
      </c>
      <c r="E306" s="4" t="s">
        <v>10</v>
      </c>
      <c r="F306" s="4" t="s">
        <v>70</v>
      </c>
      <c r="H306" s="2"/>
    </row>
    <row r="307" spans="1:11" x14ac:dyDescent="0.3">
      <c r="A307" s="4">
        <v>4</v>
      </c>
      <c r="B307" s="7">
        <v>2</v>
      </c>
      <c r="C307" s="7" t="s">
        <v>80</v>
      </c>
      <c r="D307" s="4" t="s">
        <v>0</v>
      </c>
      <c r="E307" s="4" t="s">
        <v>41</v>
      </c>
      <c r="F307" s="4" t="s">
        <v>69</v>
      </c>
      <c r="H307" s="2"/>
    </row>
    <row r="308" spans="1:11" x14ac:dyDescent="0.3">
      <c r="A308" s="4">
        <v>4</v>
      </c>
      <c r="B308" s="7">
        <v>2</v>
      </c>
      <c r="C308" s="7" t="s">
        <v>80</v>
      </c>
      <c r="D308" s="4" t="s">
        <v>40</v>
      </c>
      <c r="E308" s="4" t="s">
        <v>9</v>
      </c>
      <c r="F308" s="4" t="s">
        <v>69</v>
      </c>
      <c r="H308" s="2"/>
    </row>
    <row r="309" spans="1:11" x14ac:dyDescent="0.3">
      <c r="A309" s="4">
        <v>4</v>
      </c>
      <c r="B309" s="11">
        <v>1</v>
      </c>
      <c r="C309" s="11" t="s">
        <v>81</v>
      </c>
      <c r="D309" s="11" t="s">
        <v>29</v>
      </c>
      <c r="E309" s="4" t="s">
        <v>42</v>
      </c>
      <c r="F309" s="4" t="s">
        <v>63</v>
      </c>
    </row>
    <row r="310" spans="1:11" x14ac:dyDescent="0.3">
      <c r="A310" s="4">
        <v>4</v>
      </c>
      <c r="B310" s="11">
        <v>2</v>
      </c>
      <c r="C310" s="11" t="s">
        <v>80</v>
      </c>
      <c r="D310" s="11" t="s">
        <v>29</v>
      </c>
      <c r="E310" s="4" t="s">
        <v>42</v>
      </c>
      <c r="F310" s="4" t="s">
        <v>64</v>
      </c>
    </row>
    <row r="311" spans="1:11" x14ac:dyDescent="0.3">
      <c r="A311" s="4">
        <v>4</v>
      </c>
      <c r="B311" s="11">
        <v>1</v>
      </c>
      <c r="C311" s="11" t="s">
        <v>81</v>
      </c>
      <c r="D311" s="11" t="s">
        <v>29</v>
      </c>
      <c r="E311" s="4" t="s">
        <v>42</v>
      </c>
      <c r="F311" s="4" t="s">
        <v>65</v>
      </c>
    </row>
    <row r="312" spans="1:11" x14ac:dyDescent="0.3">
      <c r="A312" s="4">
        <v>4</v>
      </c>
      <c r="B312" s="7">
        <v>2</v>
      </c>
      <c r="C312" s="7" t="s">
        <v>80</v>
      </c>
      <c r="D312" s="4" t="s">
        <v>0</v>
      </c>
      <c r="E312" s="4" t="s">
        <v>41</v>
      </c>
      <c r="F312" s="4" t="s">
        <v>68</v>
      </c>
    </row>
    <row r="313" spans="1:11" x14ac:dyDescent="0.3">
      <c r="A313" s="4">
        <v>4</v>
      </c>
      <c r="B313" s="7">
        <v>1</v>
      </c>
      <c r="C313" s="7" t="s">
        <v>81</v>
      </c>
      <c r="D313" s="4" t="s">
        <v>40</v>
      </c>
      <c r="E313" s="4" t="s">
        <v>10</v>
      </c>
      <c r="F313" s="4" t="s">
        <v>68</v>
      </c>
    </row>
    <row r="314" spans="1:11" x14ac:dyDescent="0.3">
      <c r="A314" s="4">
        <v>4</v>
      </c>
      <c r="B314" s="11">
        <v>1</v>
      </c>
      <c r="C314" s="11" t="s">
        <v>81</v>
      </c>
      <c r="D314" s="11" t="s">
        <v>29</v>
      </c>
      <c r="E314" s="4" t="s">
        <v>42</v>
      </c>
      <c r="F314" s="4" t="s">
        <v>66</v>
      </c>
    </row>
    <row r="315" spans="1:11" x14ac:dyDescent="0.3">
      <c r="A315" s="4">
        <v>4</v>
      </c>
      <c r="B315" s="7">
        <v>1</v>
      </c>
      <c r="C315" s="7" t="s">
        <v>81</v>
      </c>
      <c r="D315" s="4" t="s">
        <v>0</v>
      </c>
      <c r="E315" s="4" t="s">
        <v>41</v>
      </c>
      <c r="F315" s="4" t="s">
        <v>67</v>
      </c>
    </row>
    <row r="316" spans="1:11" x14ac:dyDescent="0.3">
      <c r="A316" s="4">
        <v>4</v>
      </c>
      <c r="B316" s="7">
        <v>1</v>
      </c>
      <c r="C316" s="7" t="s">
        <v>81</v>
      </c>
      <c r="D316" s="4" t="s">
        <v>40</v>
      </c>
      <c r="E316" s="4" t="s">
        <v>9</v>
      </c>
      <c r="F316" s="4" t="s">
        <v>67</v>
      </c>
    </row>
    <row r="317" spans="1:11" x14ac:dyDescent="0.3">
      <c r="A317" s="4">
        <v>4</v>
      </c>
      <c r="B317" s="11">
        <v>2</v>
      </c>
      <c r="C317" s="11" t="s">
        <v>80</v>
      </c>
      <c r="D317" s="11" t="s">
        <v>29</v>
      </c>
      <c r="E317" s="4" t="s">
        <v>42</v>
      </c>
      <c r="F317" s="4" t="s">
        <v>64</v>
      </c>
      <c r="K317" s="2"/>
    </row>
    <row r="318" spans="1:11" x14ac:dyDescent="0.3">
      <c r="A318" s="4">
        <v>4</v>
      </c>
      <c r="B318" s="4">
        <v>1</v>
      </c>
      <c r="C318" s="4" t="s">
        <v>81</v>
      </c>
      <c r="D318" s="4" t="s">
        <v>0</v>
      </c>
      <c r="E318" s="4" t="s">
        <v>41</v>
      </c>
      <c r="F318" s="4" t="s">
        <v>72</v>
      </c>
      <c r="I318" s="2"/>
      <c r="K318" s="2"/>
    </row>
    <row r="319" spans="1:11" x14ac:dyDescent="0.3">
      <c r="A319" s="4">
        <v>4</v>
      </c>
      <c r="B319" s="4">
        <v>1</v>
      </c>
      <c r="C319" s="4" t="s">
        <v>81</v>
      </c>
      <c r="D319" s="4" t="s">
        <v>40</v>
      </c>
      <c r="E319" s="4" t="s">
        <v>9</v>
      </c>
      <c r="F319" s="4" t="s">
        <v>72</v>
      </c>
      <c r="I319" s="2"/>
    </row>
    <row r="320" spans="1:11" x14ac:dyDescent="0.3">
      <c r="A320" s="4">
        <v>4</v>
      </c>
      <c r="B320" s="4">
        <v>1</v>
      </c>
      <c r="C320" s="4" t="s">
        <v>81</v>
      </c>
      <c r="D320" s="4" t="s">
        <v>0</v>
      </c>
      <c r="E320" s="4" t="s">
        <v>41</v>
      </c>
      <c r="F320" s="4" t="s">
        <v>67</v>
      </c>
      <c r="I320" s="2"/>
    </row>
    <row r="321" spans="1:9" x14ac:dyDescent="0.3">
      <c r="A321" s="4">
        <v>4</v>
      </c>
      <c r="B321" s="4">
        <v>2</v>
      </c>
      <c r="C321" s="4" t="s">
        <v>80</v>
      </c>
      <c r="D321" s="4" t="s">
        <v>40</v>
      </c>
      <c r="E321" s="4" t="s">
        <v>10</v>
      </c>
      <c r="F321" s="4" t="s">
        <v>67</v>
      </c>
      <c r="I321" s="2"/>
    </row>
    <row r="322" spans="1:9" x14ac:dyDescent="0.3">
      <c r="A322" s="4">
        <v>4</v>
      </c>
      <c r="B322" s="11">
        <v>1</v>
      </c>
      <c r="C322" s="11" t="s">
        <v>81</v>
      </c>
      <c r="D322" s="11" t="s">
        <v>29</v>
      </c>
      <c r="E322" s="4" t="s">
        <v>42</v>
      </c>
      <c r="F322" s="4" t="s">
        <v>62</v>
      </c>
      <c r="I322" s="2"/>
    </row>
    <row r="323" spans="1:9" x14ac:dyDescent="0.3">
      <c r="A323" s="4">
        <v>4</v>
      </c>
      <c r="B323" s="4">
        <v>2</v>
      </c>
      <c r="C323" s="4" t="s">
        <v>80</v>
      </c>
      <c r="D323" s="4" t="s">
        <v>0</v>
      </c>
      <c r="E323" s="4" t="s">
        <v>41</v>
      </c>
      <c r="F323" s="4" t="s">
        <v>71</v>
      </c>
      <c r="I323" s="2"/>
    </row>
    <row r="324" spans="1:9" x14ac:dyDescent="0.3">
      <c r="A324" s="4">
        <v>4</v>
      </c>
      <c r="B324" s="4">
        <v>2</v>
      </c>
      <c r="C324" s="4" t="s">
        <v>80</v>
      </c>
      <c r="D324" s="4" t="s">
        <v>40</v>
      </c>
      <c r="E324" s="4" t="s">
        <v>9</v>
      </c>
      <c r="F324" s="4" t="s">
        <v>71</v>
      </c>
      <c r="I324" s="2"/>
    </row>
    <row r="325" spans="1:9" x14ac:dyDescent="0.3">
      <c r="A325" s="4">
        <v>4</v>
      </c>
      <c r="B325" s="4">
        <v>2</v>
      </c>
      <c r="C325" s="4" t="s">
        <v>80</v>
      </c>
      <c r="D325" s="4" t="s">
        <v>0</v>
      </c>
      <c r="E325" s="4" t="s">
        <v>41</v>
      </c>
      <c r="F325" s="4" t="s">
        <v>73</v>
      </c>
      <c r="I325" s="2"/>
    </row>
    <row r="326" spans="1:9" x14ac:dyDescent="0.3">
      <c r="A326" s="4">
        <v>4</v>
      </c>
      <c r="B326" s="4">
        <v>1</v>
      </c>
      <c r="C326" s="4" t="s">
        <v>81</v>
      </c>
      <c r="D326" s="4" t="s">
        <v>40</v>
      </c>
      <c r="E326" s="4" t="s">
        <v>10</v>
      </c>
      <c r="F326" s="4" t="s">
        <v>73</v>
      </c>
      <c r="I326" s="2"/>
    </row>
    <row r="327" spans="1:9" x14ac:dyDescent="0.3">
      <c r="A327" s="4">
        <v>4</v>
      </c>
      <c r="B327" s="11">
        <v>2</v>
      </c>
      <c r="C327" s="11" t="s">
        <v>80</v>
      </c>
      <c r="D327" s="11" t="s">
        <v>29</v>
      </c>
      <c r="E327" s="4" t="s">
        <v>42</v>
      </c>
      <c r="F327" s="4" t="s">
        <v>66</v>
      </c>
      <c r="I327" s="2"/>
    </row>
    <row r="328" spans="1:9" x14ac:dyDescent="0.3">
      <c r="A328" s="4">
        <v>4</v>
      </c>
      <c r="B328" s="11">
        <v>1</v>
      </c>
      <c r="C328" s="11" t="s">
        <v>81</v>
      </c>
      <c r="D328" s="11" t="s">
        <v>29</v>
      </c>
      <c r="E328" s="4" t="s">
        <v>42</v>
      </c>
      <c r="F328" s="4" t="s">
        <v>65</v>
      </c>
      <c r="I328" s="2"/>
    </row>
    <row r="329" spans="1:9" x14ac:dyDescent="0.3">
      <c r="A329" s="4">
        <v>4</v>
      </c>
      <c r="B329" s="11">
        <v>2</v>
      </c>
      <c r="C329" s="11" t="s">
        <v>80</v>
      </c>
      <c r="D329" s="11" t="s">
        <v>29</v>
      </c>
      <c r="E329" s="4" t="s">
        <v>42</v>
      </c>
      <c r="F329" s="4" t="s">
        <v>59</v>
      </c>
      <c r="I329" s="2"/>
    </row>
    <row r="330" spans="1:9" x14ac:dyDescent="0.3">
      <c r="A330" s="4">
        <v>4</v>
      </c>
      <c r="B330" s="4">
        <v>1</v>
      </c>
      <c r="C330" s="4" t="s">
        <v>81</v>
      </c>
      <c r="D330" s="4" t="s">
        <v>0</v>
      </c>
      <c r="E330" s="4" t="s">
        <v>41</v>
      </c>
      <c r="F330" s="4" t="s">
        <v>68</v>
      </c>
      <c r="I330" s="2"/>
    </row>
    <row r="331" spans="1:9" x14ac:dyDescent="0.3">
      <c r="A331" s="4">
        <v>4</v>
      </c>
      <c r="B331" s="4">
        <v>2</v>
      </c>
      <c r="C331" s="4" t="s">
        <v>80</v>
      </c>
      <c r="D331" s="4" t="s">
        <v>40</v>
      </c>
      <c r="E331" s="4" t="s">
        <v>10</v>
      </c>
      <c r="F331" s="4" t="s">
        <v>68</v>
      </c>
      <c r="I331" s="2"/>
    </row>
    <row r="332" spans="1:9" x14ac:dyDescent="0.3">
      <c r="A332" s="4">
        <v>4</v>
      </c>
      <c r="B332" s="4">
        <v>2</v>
      </c>
      <c r="C332" s="4" t="s">
        <v>80</v>
      </c>
      <c r="D332" s="4" t="s">
        <v>0</v>
      </c>
      <c r="E332" s="4" t="s">
        <v>41</v>
      </c>
      <c r="F332" s="4" t="s">
        <v>74</v>
      </c>
      <c r="I332" s="2"/>
    </row>
    <row r="333" spans="1:9" x14ac:dyDescent="0.3">
      <c r="A333" s="4">
        <v>4</v>
      </c>
      <c r="B333" s="4">
        <v>2</v>
      </c>
      <c r="C333" s="4" t="s">
        <v>80</v>
      </c>
      <c r="D333" s="4" t="s">
        <v>40</v>
      </c>
      <c r="E333" s="4" t="s">
        <v>9</v>
      </c>
      <c r="F333" s="4" t="s">
        <v>74</v>
      </c>
      <c r="I333" s="2"/>
    </row>
    <row r="334" spans="1:9" x14ac:dyDescent="0.3">
      <c r="A334" s="4">
        <v>4</v>
      </c>
      <c r="B334" s="11">
        <v>1</v>
      </c>
      <c r="C334" s="11" t="s">
        <v>81</v>
      </c>
      <c r="D334" s="11" t="s">
        <v>29</v>
      </c>
      <c r="E334" s="4" t="s">
        <v>42</v>
      </c>
      <c r="F334" s="4" t="s">
        <v>61</v>
      </c>
      <c r="I334" s="2"/>
    </row>
    <row r="335" spans="1:9" x14ac:dyDescent="0.3">
      <c r="A335" s="4">
        <v>4</v>
      </c>
      <c r="B335" s="4">
        <v>2</v>
      </c>
      <c r="C335" s="4" t="s">
        <v>80</v>
      </c>
      <c r="D335" s="4" t="s">
        <v>0</v>
      </c>
      <c r="E335" s="4" t="s">
        <v>41</v>
      </c>
      <c r="F335" s="4" t="s">
        <v>69</v>
      </c>
    </row>
    <row r="336" spans="1:9" x14ac:dyDescent="0.3">
      <c r="A336" s="4">
        <v>4</v>
      </c>
      <c r="B336" s="4">
        <v>1</v>
      </c>
      <c r="C336" s="4" t="s">
        <v>81</v>
      </c>
      <c r="D336" s="4" t="s">
        <v>40</v>
      </c>
      <c r="E336" s="4" t="s">
        <v>10</v>
      </c>
      <c r="F336" s="4" t="s">
        <v>69</v>
      </c>
    </row>
    <row r="337" spans="1:12" x14ac:dyDescent="0.3">
      <c r="A337" s="4">
        <v>4</v>
      </c>
      <c r="B337" s="4">
        <v>1</v>
      </c>
      <c r="C337" s="4" t="s">
        <v>81</v>
      </c>
      <c r="D337" s="4" t="s">
        <v>0</v>
      </c>
      <c r="E337" s="4" t="s">
        <v>41</v>
      </c>
      <c r="F337" s="4" t="s">
        <v>70</v>
      </c>
    </row>
    <row r="338" spans="1:12" x14ac:dyDescent="0.3">
      <c r="A338" s="4">
        <v>4</v>
      </c>
      <c r="B338" s="4">
        <v>1</v>
      </c>
      <c r="C338" s="4" t="s">
        <v>81</v>
      </c>
      <c r="D338" s="4" t="s">
        <v>40</v>
      </c>
      <c r="E338" s="4" t="s">
        <v>9</v>
      </c>
      <c r="F338" s="4" t="s">
        <v>70</v>
      </c>
    </row>
    <row r="339" spans="1:12" x14ac:dyDescent="0.3">
      <c r="A339" s="4">
        <v>4</v>
      </c>
      <c r="B339" s="11">
        <v>2</v>
      </c>
      <c r="C339" s="11" t="s">
        <v>80</v>
      </c>
      <c r="D339" s="11" t="s">
        <v>29</v>
      </c>
      <c r="E339" s="4" t="s">
        <v>42</v>
      </c>
      <c r="F339" s="4" t="s">
        <v>63</v>
      </c>
    </row>
    <row r="340" spans="1:12" x14ac:dyDescent="0.3">
      <c r="A340" s="4">
        <v>4</v>
      </c>
      <c r="B340" s="11">
        <v>1</v>
      </c>
      <c r="C340" s="11" t="s">
        <v>81</v>
      </c>
      <c r="D340" s="11" t="s">
        <v>29</v>
      </c>
      <c r="E340" s="4" t="s">
        <v>42</v>
      </c>
      <c r="F340" s="4" t="s">
        <v>60</v>
      </c>
    </row>
    <row r="341" spans="1:12" x14ac:dyDescent="0.3">
      <c r="A341" s="4">
        <v>4</v>
      </c>
      <c r="B341" s="7">
        <v>1</v>
      </c>
      <c r="C341" s="7" t="s">
        <v>81</v>
      </c>
      <c r="D341" s="4" t="s">
        <v>0</v>
      </c>
      <c r="E341" s="4" t="s">
        <v>41</v>
      </c>
      <c r="F341" s="4" t="s">
        <v>71</v>
      </c>
    </row>
    <row r="342" spans="1:12" x14ac:dyDescent="0.3">
      <c r="A342" s="4">
        <v>4</v>
      </c>
      <c r="B342" s="7">
        <v>1</v>
      </c>
      <c r="C342" s="7" t="s">
        <v>81</v>
      </c>
      <c r="D342" s="4" t="s">
        <v>40</v>
      </c>
      <c r="E342" s="4" t="s">
        <v>9</v>
      </c>
      <c r="F342" s="4" t="s">
        <v>71</v>
      </c>
    </row>
    <row r="343" spans="1:12" x14ac:dyDescent="0.3">
      <c r="A343" s="4">
        <v>4</v>
      </c>
      <c r="B343" s="11">
        <v>2</v>
      </c>
      <c r="C343" s="11" t="s">
        <v>80</v>
      </c>
      <c r="D343" s="11" t="s">
        <v>29</v>
      </c>
      <c r="E343" s="4" t="s">
        <v>42</v>
      </c>
      <c r="F343" s="4" t="s">
        <v>62</v>
      </c>
      <c r="J343" s="2"/>
      <c r="L343" s="2"/>
    </row>
    <row r="344" spans="1:12" x14ac:dyDescent="0.3">
      <c r="A344" s="4">
        <v>4</v>
      </c>
      <c r="B344" s="7">
        <v>1</v>
      </c>
      <c r="C344" s="7" t="s">
        <v>81</v>
      </c>
      <c r="D344" s="4" t="s">
        <v>0</v>
      </c>
      <c r="E344" s="4" t="s">
        <v>41</v>
      </c>
      <c r="F344" s="4" t="s">
        <v>69</v>
      </c>
      <c r="J344" s="2"/>
      <c r="L344" s="2"/>
    </row>
    <row r="345" spans="1:12" x14ac:dyDescent="0.3">
      <c r="A345" s="4">
        <v>4</v>
      </c>
      <c r="B345" s="7">
        <v>2</v>
      </c>
      <c r="C345" s="7" t="s">
        <v>80</v>
      </c>
      <c r="D345" s="4" t="s">
        <v>40</v>
      </c>
      <c r="E345" s="4" t="s">
        <v>10</v>
      </c>
      <c r="F345" s="4" t="s">
        <v>69</v>
      </c>
      <c r="J345" s="2"/>
      <c r="L345" s="2"/>
    </row>
    <row r="346" spans="1:12" x14ac:dyDescent="0.3">
      <c r="A346" s="4">
        <v>4</v>
      </c>
      <c r="B346" s="7">
        <v>2</v>
      </c>
      <c r="C346" s="7" t="s">
        <v>80</v>
      </c>
      <c r="D346" s="4" t="s">
        <v>0</v>
      </c>
      <c r="E346" s="4" t="s">
        <v>41</v>
      </c>
      <c r="F346" s="4" t="s">
        <v>73</v>
      </c>
      <c r="J346" s="2"/>
      <c r="L346" s="2"/>
    </row>
    <row r="347" spans="1:12" x14ac:dyDescent="0.3">
      <c r="A347" s="4">
        <v>4</v>
      </c>
      <c r="B347" s="7">
        <v>2</v>
      </c>
      <c r="C347" s="7" t="s">
        <v>80</v>
      </c>
      <c r="D347" s="4" t="s">
        <v>40</v>
      </c>
      <c r="E347" s="4" t="s">
        <v>9</v>
      </c>
      <c r="F347" s="4" t="s">
        <v>73</v>
      </c>
      <c r="J347" s="2"/>
      <c r="L347" s="2"/>
    </row>
    <row r="348" spans="1:12" x14ac:dyDescent="0.3">
      <c r="A348" s="4">
        <v>4</v>
      </c>
      <c r="B348" s="11">
        <v>1</v>
      </c>
      <c r="C348" s="11" t="s">
        <v>81</v>
      </c>
      <c r="D348" s="11" t="s">
        <v>29</v>
      </c>
      <c r="E348" s="4" t="s">
        <v>42</v>
      </c>
      <c r="F348" s="4" t="s">
        <v>65</v>
      </c>
      <c r="J348" s="2"/>
      <c r="L348" s="2"/>
    </row>
    <row r="349" spans="1:12" x14ac:dyDescent="0.3">
      <c r="A349" s="4">
        <v>4</v>
      </c>
      <c r="B349" s="11">
        <v>2</v>
      </c>
      <c r="C349" s="11" t="s">
        <v>80</v>
      </c>
      <c r="D349" s="11" t="s">
        <v>29</v>
      </c>
      <c r="E349" s="4" t="s">
        <v>42</v>
      </c>
      <c r="F349" s="4" t="s">
        <v>60</v>
      </c>
      <c r="J349" s="2"/>
      <c r="L349" s="2"/>
    </row>
    <row r="350" spans="1:12" x14ac:dyDescent="0.3">
      <c r="A350" s="4">
        <v>4</v>
      </c>
      <c r="B350" s="7">
        <v>2</v>
      </c>
      <c r="C350" s="7" t="s">
        <v>80</v>
      </c>
      <c r="D350" s="4" t="s">
        <v>0</v>
      </c>
      <c r="E350" s="4" t="s">
        <v>41</v>
      </c>
      <c r="F350" s="4" t="s">
        <v>70</v>
      </c>
      <c r="J350" s="2"/>
      <c r="L350" s="2"/>
    </row>
    <row r="351" spans="1:12" x14ac:dyDescent="0.3">
      <c r="A351" s="4">
        <v>4</v>
      </c>
      <c r="B351" s="7">
        <v>1</v>
      </c>
      <c r="C351" s="7" t="s">
        <v>81</v>
      </c>
      <c r="D351" s="4" t="s">
        <v>40</v>
      </c>
      <c r="E351" s="4" t="s">
        <v>10</v>
      </c>
      <c r="F351" s="4" t="s">
        <v>70</v>
      </c>
      <c r="J351" s="2"/>
      <c r="L351" s="2"/>
    </row>
    <row r="352" spans="1:12" x14ac:dyDescent="0.3">
      <c r="A352" s="4">
        <v>4</v>
      </c>
      <c r="B352" s="7">
        <v>1</v>
      </c>
      <c r="C352" s="7" t="s">
        <v>81</v>
      </c>
      <c r="D352" s="4" t="s">
        <v>0</v>
      </c>
      <c r="E352" s="4" t="s">
        <v>41</v>
      </c>
      <c r="F352" s="4" t="s">
        <v>74</v>
      </c>
      <c r="J352" s="2"/>
      <c r="L352" s="2"/>
    </row>
    <row r="353" spans="1:12" x14ac:dyDescent="0.3">
      <c r="A353" s="4">
        <v>4</v>
      </c>
      <c r="B353" s="7">
        <v>2</v>
      </c>
      <c r="C353" s="7" t="s">
        <v>80</v>
      </c>
      <c r="D353" s="4" t="s">
        <v>40</v>
      </c>
      <c r="E353" s="4" t="s">
        <v>10</v>
      </c>
      <c r="F353" s="4" t="s">
        <v>74</v>
      </c>
      <c r="J353" s="2"/>
      <c r="L353" s="2"/>
    </row>
    <row r="354" spans="1:12" x14ac:dyDescent="0.3">
      <c r="A354" s="4">
        <v>4</v>
      </c>
      <c r="B354" s="11">
        <v>1</v>
      </c>
      <c r="C354" s="11" t="s">
        <v>81</v>
      </c>
      <c r="D354" s="11" t="s">
        <v>29</v>
      </c>
      <c r="E354" s="4" t="s">
        <v>42</v>
      </c>
      <c r="F354" s="4" t="s">
        <v>64</v>
      </c>
      <c r="J354" s="2"/>
      <c r="L354" s="2"/>
    </row>
    <row r="355" spans="1:12" x14ac:dyDescent="0.3">
      <c r="A355" s="4">
        <v>4</v>
      </c>
      <c r="B355" s="7">
        <v>2</v>
      </c>
      <c r="C355" s="7" t="s">
        <v>80</v>
      </c>
      <c r="D355" s="4" t="s">
        <v>0</v>
      </c>
      <c r="E355" s="4" t="s">
        <v>41</v>
      </c>
      <c r="F355" s="4" t="s">
        <v>67</v>
      </c>
      <c r="J355" s="2"/>
      <c r="L355" s="2"/>
    </row>
    <row r="356" spans="1:12" x14ac:dyDescent="0.3">
      <c r="A356" s="4">
        <v>4</v>
      </c>
      <c r="B356" s="7">
        <v>2</v>
      </c>
      <c r="C356" s="7" t="s">
        <v>80</v>
      </c>
      <c r="D356" s="4" t="s">
        <v>40</v>
      </c>
      <c r="E356" s="4" t="s">
        <v>9</v>
      </c>
      <c r="F356" s="4" t="s">
        <v>67</v>
      </c>
      <c r="J356" s="2"/>
      <c r="L356" s="2"/>
    </row>
    <row r="357" spans="1:12" x14ac:dyDescent="0.3">
      <c r="A357" s="4">
        <v>4</v>
      </c>
      <c r="B357" s="11">
        <v>1</v>
      </c>
      <c r="C357" s="11" t="s">
        <v>81</v>
      </c>
      <c r="D357" s="11" t="s">
        <v>29</v>
      </c>
      <c r="E357" s="4" t="s">
        <v>42</v>
      </c>
      <c r="F357" s="4" t="s">
        <v>66</v>
      </c>
      <c r="J357" s="2"/>
      <c r="L357" s="2"/>
    </row>
    <row r="358" spans="1:12" x14ac:dyDescent="0.3">
      <c r="A358" s="4">
        <v>4</v>
      </c>
      <c r="B358" s="7">
        <v>2</v>
      </c>
      <c r="C358" s="7" t="s">
        <v>80</v>
      </c>
      <c r="D358" s="4" t="s">
        <v>0</v>
      </c>
      <c r="E358" s="4" t="s">
        <v>41</v>
      </c>
      <c r="F358" s="4" t="s">
        <v>72</v>
      </c>
      <c r="J358" s="2"/>
      <c r="L358" s="2"/>
    </row>
    <row r="359" spans="1:12" x14ac:dyDescent="0.3">
      <c r="A359" s="4">
        <v>4</v>
      </c>
      <c r="B359" s="7">
        <v>1</v>
      </c>
      <c r="C359" s="7" t="s">
        <v>81</v>
      </c>
      <c r="D359" s="4" t="s">
        <v>40</v>
      </c>
      <c r="E359" s="4" t="s">
        <v>10</v>
      </c>
      <c r="F359" s="4" t="s">
        <v>72</v>
      </c>
    </row>
    <row r="360" spans="1:12" x14ac:dyDescent="0.3">
      <c r="A360" s="4">
        <v>4</v>
      </c>
      <c r="B360" s="7">
        <v>1</v>
      </c>
      <c r="C360" s="7" t="s">
        <v>81</v>
      </c>
      <c r="D360" s="4" t="s">
        <v>0</v>
      </c>
      <c r="E360" s="4" t="s">
        <v>41</v>
      </c>
      <c r="F360" s="4" t="s">
        <v>68</v>
      </c>
    </row>
    <row r="361" spans="1:12" x14ac:dyDescent="0.3">
      <c r="A361" s="4">
        <v>4</v>
      </c>
      <c r="B361" s="7">
        <v>1</v>
      </c>
      <c r="C361" s="7" t="s">
        <v>81</v>
      </c>
      <c r="D361" s="4" t="s">
        <v>40</v>
      </c>
      <c r="E361" s="4" t="s">
        <v>9</v>
      </c>
      <c r="F361" s="4" t="s">
        <v>68</v>
      </c>
    </row>
    <row r="362" spans="1:12" x14ac:dyDescent="0.3">
      <c r="A362" s="4">
        <v>4</v>
      </c>
      <c r="B362" s="11">
        <v>2</v>
      </c>
      <c r="C362" s="11" t="s">
        <v>80</v>
      </c>
      <c r="D362" s="11" t="s">
        <v>29</v>
      </c>
      <c r="E362" s="4" t="s">
        <v>42</v>
      </c>
      <c r="F362" s="4" t="s">
        <v>63</v>
      </c>
    </row>
    <row r="363" spans="1:12" x14ac:dyDescent="0.3">
      <c r="A363" s="4">
        <v>4</v>
      </c>
      <c r="B363" s="11">
        <v>1</v>
      </c>
      <c r="C363" s="11" t="s">
        <v>81</v>
      </c>
      <c r="D363" s="11" t="s">
        <v>29</v>
      </c>
      <c r="E363" s="4" t="s">
        <v>42</v>
      </c>
      <c r="F363" s="4" t="s">
        <v>61</v>
      </c>
    </row>
    <row r="364" spans="1:12" x14ac:dyDescent="0.3">
      <c r="A364" s="4">
        <v>4</v>
      </c>
      <c r="B364" s="11">
        <v>2</v>
      </c>
      <c r="C364" s="11" t="s">
        <v>80</v>
      </c>
      <c r="D364" s="11" t="s">
        <v>29</v>
      </c>
      <c r="E364" s="4" t="s">
        <v>42</v>
      </c>
      <c r="F364" s="4" t="s">
        <v>59</v>
      </c>
    </row>
    <row r="365" spans="1:12" x14ac:dyDescent="0.3">
      <c r="A365" s="4">
        <v>4</v>
      </c>
      <c r="B365" s="4">
        <v>1</v>
      </c>
      <c r="C365" s="4" t="s">
        <v>81</v>
      </c>
      <c r="D365" s="4" t="s">
        <v>0</v>
      </c>
      <c r="E365" s="4" t="s">
        <v>41</v>
      </c>
      <c r="F365" s="4" t="s">
        <v>69</v>
      </c>
    </row>
    <row r="366" spans="1:12" x14ac:dyDescent="0.3">
      <c r="A366" s="4">
        <v>4</v>
      </c>
      <c r="B366" s="4">
        <v>1</v>
      </c>
      <c r="C366" s="4" t="s">
        <v>81</v>
      </c>
      <c r="D366" s="4" t="s">
        <v>40</v>
      </c>
      <c r="E366" s="4" t="s">
        <v>9</v>
      </c>
      <c r="F366" s="4" t="s">
        <v>69</v>
      </c>
    </row>
    <row r="367" spans="1:12" x14ac:dyDescent="0.3">
      <c r="A367" s="4">
        <v>4</v>
      </c>
      <c r="B367" s="11">
        <v>2</v>
      </c>
      <c r="C367" s="11" t="s">
        <v>80</v>
      </c>
      <c r="D367" s="11" t="s">
        <v>29</v>
      </c>
      <c r="E367" s="4" t="s">
        <v>42</v>
      </c>
      <c r="F367" s="4" t="s">
        <v>63</v>
      </c>
      <c r="K367" s="2"/>
    </row>
    <row r="368" spans="1:12" x14ac:dyDescent="0.3">
      <c r="A368" s="4">
        <v>4</v>
      </c>
      <c r="B368" s="11">
        <v>2</v>
      </c>
      <c r="C368" s="11" t="s">
        <v>80</v>
      </c>
      <c r="D368" s="11" t="s">
        <v>29</v>
      </c>
      <c r="E368" s="4" t="s">
        <v>42</v>
      </c>
      <c r="F368" s="4" t="s">
        <v>59</v>
      </c>
      <c r="I368" s="2"/>
      <c r="K368" s="2"/>
    </row>
    <row r="369" spans="1:11" x14ac:dyDescent="0.3">
      <c r="A369" s="4">
        <v>4</v>
      </c>
      <c r="B369" s="4">
        <v>1</v>
      </c>
      <c r="C369" s="4" t="s">
        <v>81</v>
      </c>
      <c r="D369" s="4" t="s">
        <v>0</v>
      </c>
      <c r="E369" s="4" t="s">
        <v>41</v>
      </c>
      <c r="F369" s="4" t="s">
        <v>72</v>
      </c>
      <c r="I369" s="2"/>
      <c r="K369" s="2"/>
    </row>
    <row r="370" spans="1:11" x14ac:dyDescent="0.3">
      <c r="A370" s="4">
        <v>4</v>
      </c>
      <c r="B370" s="4">
        <v>2</v>
      </c>
      <c r="C370" s="4" t="s">
        <v>80</v>
      </c>
      <c r="D370" s="4" t="s">
        <v>40</v>
      </c>
      <c r="E370" s="4" t="s">
        <v>10</v>
      </c>
      <c r="F370" s="4" t="s">
        <v>72</v>
      </c>
      <c r="I370" s="2"/>
      <c r="K370" s="2"/>
    </row>
    <row r="371" spans="1:11" x14ac:dyDescent="0.3">
      <c r="A371" s="4">
        <v>4</v>
      </c>
      <c r="B371" s="11">
        <v>1</v>
      </c>
      <c r="C371" s="11" t="s">
        <v>81</v>
      </c>
      <c r="D371" s="11" t="s">
        <v>29</v>
      </c>
      <c r="E371" s="4" t="s">
        <v>42</v>
      </c>
      <c r="F371" s="4" t="s">
        <v>65</v>
      </c>
      <c r="I371" s="2"/>
      <c r="K371" s="2"/>
    </row>
    <row r="372" spans="1:11" x14ac:dyDescent="0.3">
      <c r="A372" s="4">
        <v>4</v>
      </c>
      <c r="B372" s="4">
        <v>2</v>
      </c>
      <c r="C372" s="4" t="s">
        <v>80</v>
      </c>
      <c r="D372" s="4" t="s">
        <v>0</v>
      </c>
      <c r="E372" s="4" t="s">
        <v>41</v>
      </c>
      <c r="F372" s="4" t="s">
        <v>70</v>
      </c>
      <c r="I372" s="2"/>
      <c r="K372" s="2"/>
    </row>
    <row r="373" spans="1:11" x14ac:dyDescent="0.3">
      <c r="A373" s="4">
        <v>4</v>
      </c>
      <c r="B373" s="4">
        <v>2</v>
      </c>
      <c r="C373" s="4" t="s">
        <v>80</v>
      </c>
      <c r="D373" s="4" t="s">
        <v>40</v>
      </c>
      <c r="E373" s="4" t="s">
        <v>9</v>
      </c>
      <c r="F373" s="4" t="s">
        <v>70</v>
      </c>
      <c r="I373" s="2"/>
      <c r="K373" s="2"/>
    </row>
    <row r="374" spans="1:11" x14ac:dyDescent="0.3">
      <c r="A374" s="4">
        <v>4</v>
      </c>
      <c r="B374" s="4">
        <v>2</v>
      </c>
      <c r="C374" s="4" t="s">
        <v>80</v>
      </c>
      <c r="D374" s="4" t="s">
        <v>0</v>
      </c>
      <c r="E374" s="4" t="s">
        <v>41</v>
      </c>
      <c r="F374" s="4" t="s">
        <v>74</v>
      </c>
      <c r="I374" s="2"/>
      <c r="K374" s="2"/>
    </row>
    <row r="375" spans="1:11" x14ac:dyDescent="0.3">
      <c r="A375" s="4">
        <v>4</v>
      </c>
      <c r="B375" s="4">
        <v>1</v>
      </c>
      <c r="C375" s="4" t="s">
        <v>81</v>
      </c>
      <c r="D375" s="4" t="s">
        <v>40</v>
      </c>
      <c r="E375" s="4" t="s">
        <v>10</v>
      </c>
      <c r="F375" s="4" t="s">
        <v>74</v>
      </c>
      <c r="I375" s="2"/>
      <c r="K375" s="2"/>
    </row>
    <row r="376" spans="1:11" x14ac:dyDescent="0.3">
      <c r="A376" s="4">
        <v>4</v>
      </c>
      <c r="B376" s="11">
        <v>2</v>
      </c>
      <c r="C376" s="11" t="s">
        <v>80</v>
      </c>
      <c r="D376" s="11" t="s">
        <v>29</v>
      </c>
      <c r="E376" s="4" t="s">
        <v>42</v>
      </c>
      <c r="F376" s="4" t="s">
        <v>61</v>
      </c>
      <c r="I376" s="2"/>
      <c r="K376" s="2"/>
    </row>
    <row r="377" spans="1:11" x14ac:dyDescent="0.3">
      <c r="A377" s="4">
        <v>4</v>
      </c>
      <c r="B377" s="4">
        <v>1</v>
      </c>
      <c r="C377" s="4" t="s">
        <v>81</v>
      </c>
      <c r="D377" s="4" t="s">
        <v>0</v>
      </c>
      <c r="E377" s="4" t="s">
        <v>41</v>
      </c>
      <c r="F377" s="4" t="s">
        <v>71</v>
      </c>
      <c r="I377" s="2"/>
      <c r="K377" s="2"/>
    </row>
    <row r="378" spans="1:11" x14ac:dyDescent="0.3">
      <c r="A378" s="4">
        <v>4</v>
      </c>
      <c r="B378" s="4">
        <v>2</v>
      </c>
      <c r="C378" s="4" t="s">
        <v>80</v>
      </c>
      <c r="D378" s="4" t="s">
        <v>40</v>
      </c>
      <c r="E378" s="4" t="s">
        <v>10</v>
      </c>
      <c r="F378" s="4" t="s">
        <v>71</v>
      </c>
      <c r="I378" s="2"/>
      <c r="K378" s="2"/>
    </row>
    <row r="379" spans="1:11" x14ac:dyDescent="0.3">
      <c r="A379" s="4">
        <v>4</v>
      </c>
      <c r="B379" s="4">
        <v>2</v>
      </c>
      <c r="C379" s="4" t="s">
        <v>80</v>
      </c>
      <c r="D379" s="4" t="s">
        <v>0</v>
      </c>
      <c r="E379" s="4" t="s">
        <v>41</v>
      </c>
      <c r="F379" s="4" t="s">
        <v>68</v>
      </c>
      <c r="I379" s="2"/>
      <c r="K379" s="2"/>
    </row>
    <row r="380" spans="1:11" x14ac:dyDescent="0.3">
      <c r="A380" s="4">
        <v>4</v>
      </c>
      <c r="B380" s="11">
        <v>1</v>
      </c>
      <c r="C380" s="11" t="s">
        <v>81</v>
      </c>
      <c r="D380" s="11" t="s">
        <v>29</v>
      </c>
      <c r="E380" s="4" t="s">
        <v>42</v>
      </c>
      <c r="F380" s="4" t="s">
        <v>60</v>
      </c>
      <c r="I380" s="2"/>
      <c r="K380" s="2"/>
    </row>
    <row r="381" spans="1:11" x14ac:dyDescent="0.3">
      <c r="A381" s="4">
        <v>4</v>
      </c>
      <c r="B381" s="11">
        <v>1</v>
      </c>
      <c r="C381" s="11" t="s">
        <v>81</v>
      </c>
      <c r="D381" s="11" t="s">
        <v>29</v>
      </c>
      <c r="E381" s="4" t="s">
        <v>42</v>
      </c>
      <c r="F381" s="4" t="s">
        <v>66</v>
      </c>
      <c r="I381" s="2"/>
      <c r="K381" s="2"/>
    </row>
    <row r="382" spans="1:11" x14ac:dyDescent="0.3">
      <c r="A382" s="4">
        <v>4</v>
      </c>
      <c r="B382" s="4">
        <v>2</v>
      </c>
      <c r="C382" s="4" t="s">
        <v>80</v>
      </c>
      <c r="D382" s="4" t="s">
        <v>40</v>
      </c>
      <c r="E382" s="4" t="s">
        <v>9</v>
      </c>
      <c r="F382" s="4" t="s">
        <v>68</v>
      </c>
      <c r="I382" s="2"/>
      <c r="K382" s="2"/>
    </row>
    <row r="383" spans="1:11" x14ac:dyDescent="0.3">
      <c r="A383" s="4">
        <v>4</v>
      </c>
      <c r="B383" s="4">
        <v>2</v>
      </c>
      <c r="C383" s="4" t="s">
        <v>80</v>
      </c>
      <c r="D383" s="4" t="s">
        <v>0</v>
      </c>
      <c r="E383" s="4" t="s">
        <v>41</v>
      </c>
      <c r="F383" s="4" t="s">
        <v>67</v>
      </c>
      <c r="I383" s="2"/>
    </row>
    <row r="384" spans="1:11" x14ac:dyDescent="0.3">
      <c r="A384" s="4">
        <v>4</v>
      </c>
      <c r="B384" s="4">
        <v>1</v>
      </c>
      <c r="C384" s="4" t="s">
        <v>81</v>
      </c>
      <c r="D384" s="4" t="s">
        <v>40</v>
      </c>
      <c r="E384" s="4" t="s">
        <v>10</v>
      </c>
      <c r="F384" s="4" t="s">
        <v>67</v>
      </c>
    </row>
    <row r="385" spans="1:6" x14ac:dyDescent="0.3">
      <c r="A385" s="4">
        <v>4</v>
      </c>
      <c r="B385" s="4">
        <v>1</v>
      </c>
      <c r="C385" s="4" t="s">
        <v>81</v>
      </c>
      <c r="D385" s="4" t="s">
        <v>0</v>
      </c>
      <c r="E385" s="4" t="s">
        <v>41</v>
      </c>
      <c r="F385" s="4" t="s">
        <v>73</v>
      </c>
    </row>
    <row r="386" spans="1:6" x14ac:dyDescent="0.3">
      <c r="A386" s="4">
        <v>4</v>
      </c>
      <c r="B386" s="4">
        <v>1</v>
      </c>
      <c r="C386" s="4" t="s">
        <v>81</v>
      </c>
      <c r="D386" s="4" t="s">
        <v>40</v>
      </c>
      <c r="E386" s="4" t="s">
        <v>9</v>
      </c>
      <c r="F386" s="4" t="s">
        <v>73</v>
      </c>
    </row>
    <row r="387" spans="1:6" x14ac:dyDescent="0.3">
      <c r="A387" s="4">
        <v>4</v>
      </c>
      <c r="B387" s="11">
        <v>2</v>
      </c>
      <c r="C387" s="11" t="s">
        <v>80</v>
      </c>
      <c r="D387" s="11" t="s">
        <v>29</v>
      </c>
      <c r="E387" s="4" t="s">
        <v>42</v>
      </c>
      <c r="F387" s="4" t="s">
        <v>64</v>
      </c>
    </row>
    <row r="388" spans="1:6" x14ac:dyDescent="0.3">
      <c r="A388" s="4">
        <v>4</v>
      </c>
      <c r="B388" s="11">
        <v>1</v>
      </c>
      <c r="C388" s="11" t="s">
        <v>81</v>
      </c>
      <c r="D388" s="11" t="s">
        <v>29</v>
      </c>
      <c r="E388" s="4" t="s">
        <v>42</v>
      </c>
      <c r="F388" s="4" t="s">
        <v>62</v>
      </c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0"/>
  <sheetViews>
    <sheetView workbookViewId="0">
      <selection activeCell="H11" sqref="H11"/>
    </sheetView>
  </sheetViews>
  <sheetFormatPr defaultRowHeight="14.4" x14ac:dyDescent="0.3"/>
  <cols>
    <col min="3" max="3" width="10.6640625" bestFit="1" customWidth="1"/>
  </cols>
  <sheetData>
    <row r="1" spans="1:6" x14ac:dyDescent="0.3">
      <c r="A1" s="21" t="s">
        <v>83</v>
      </c>
      <c r="B1" s="21" t="s">
        <v>75</v>
      </c>
      <c r="C1" s="21" t="s">
        <v>76</v>
      </c>
      <c r="D1" s="21" t="s">
        <v>77</v>
      </c>
      <c r="E1" s="21" t="s">
        <v>78</v>
      </c>
      <c r="F1" s="21" t="s">
        <v>79</v>
      </c>
    </row>
    <row r="2" spans="1:6" x14ac:dyDescent="0.3">
      <c r="A2" s="7">
        <v>1</v>
      </c>
      <c r="B2" s="7">
        <v>2</v>
      </c>
      <c r="C2" s="7" t="s">
        <v>80</v>
      </c>
      <c r="D2" s="4" t="s">
        <v>40</v>
      </c>
      <c r="E2" s="4" t="s">
        <v>9</v>
      </c>
      <c r="F2" s="4" t="s">
        <v>43</v>
      </c>
    </row>
    <row r="3" spans="1:6" x14ac:dyDescent="0.3">
      <c r="A3" s="12">
        <v>1</v>
      </c>
      <c r="B3" s="14">
        <v>1</v>
      </c>
      <c r="C3" s="13" t="s">
        <v>99</v>
      </c>
      <c r="D3" s="8" t="s">
        <v>29</v>
      </c>
      <c r="E3" s="15" t="s">
        <v>42</v>
      </c>
      <c r="F3" s="15" t="s">
        <v>74</v>
      </c>
    </row>
    <row r="4" spans="1:6" x14ac:dyDescent="0.3">
      <c r="A4" s="12">
        <v>1</v>
      </c>
      <c r="B4" s="12">
        <v>2</v>
      </c>
      <c r="C4" s="12" t="s">
        <v>80</v>
      </c>
      <c r="D4" s="15" t="s">
        <v>40</v>
      </c>
      <c r="E4" s="15" t="s">
        <v>9</v>
      </c>
      <c r="F4" s="15" t="s">
        <v>44</v>
      </c>
    </row>
    <row r="5" spans="1:6" x14ac:dyDescent="0.3">
      <c r="A5" s="7">
        <v>1</v>
      </c>
      <c r="B5" s="14">
        <v>1</v>
      </c>
      <c r="C5" s="14" t="s">
        <v>99</v>
      </c>
      <c r="D5" s="8" t="s">
        <v>29</v>
      </c>
      <c r="E5" s="4" t="s">
        <v>42</v>
      </c>
      <c r="F5" s="4" t="s">
        <v>73</v>
      </c>
    </row>
    <row r="6" spans="1:6" x14ac:dyDescent="0.3">
      <c r="A6" s="7">
        <v>1</v>
      </c>
      <c r="B6" s="7">
        <v>1</v>
      </c>
      <c r="C6" s="7" t="s">
        <v>81</v>
      </c>
      <c r="D6" s="4" t="s">
        <v>40</v>
      </c>
      <c r="E6" s="4" t="s">
        <v>10</v>
      </c>
      <c r="F6" s="4" t="s">
        <v>45</v>
      </c>
    </row>
    <row r="7" spans="1:6" x14ac:dyDescent="0.3">
      <c r="A7" s="7">
        <v>1</v>
      </c>
      <c r="B7" s="7">
        <v>2</v>
      </c>
      <c r="C7" s="7" t="s">
        <v>80</v>
      </c>
      <c r="D7" s="4" t="s">
        <v>40</v>
      </c>
      <c r="E7" s="4" t="s">
        <v>10</v>
      </c>
      <c r="F7" s="4" t="s">
        <v>46</v>
      </c>
    </row>
    <row r="8" spans="1:6" x14ac:dyDescent="0.3">
      <c r="A8" s="12">
        <v>1</v>
      </c>
      <c r="B8" s="14">
        <v>2</v>
      </c>
      <c r="C8" s="13" t="s">
        <v>100</v>
      </c>
      <c r="D8" s="8" t="s">
        <v>29</v>
      </c>
      <c r="E8" s="15" t="s">
        <v>42</v>
      </c>
      <c r="F8" s="15" t="s">
        <v>72</v>
      </c>
    </row>
    <row r="9" spans="1:6" x14ac:dyDescent="0.3">
      <c r="A9" s="12">
        <v>1</v>
      </c>
      <c r="B9" s="12">
        <v>1</v>
      </c>
      <c r="C9" s="12" t="s">
        <v>81</v>
      </c>
      <c r="D9" s="15" t="s">
        <v>40</v>
      </c>
      <c r="E9" s="15" t="s">
        <v>10</v>
      </c>
      <c r="F9" s="15" t="s">
        <v>47</v>
      </c>
    </row>
    <row r="10" spans="1:6" x14ac:dyDescent="0.3">
      <c r="A10" s="7">
        <v>1</v>
      </c>
      <c r="B10" s="14">
        <v>2</v>
      </c>
      <c r="C10" s="13" t="s">
        <v>100</v>
      </c>
      <c r="D10" s="8" t="s">
        <v>29</v>
      </c>
      <c r="E10" s="4" t="s">
        <v>42</v>
      </c>
      <c r="F10" s="4" t="s">
        <v>71</v>
      </c>
    </row>
    <row r="11" spans="1:6" x14ac:dyDescent="0.3">
      <c r="A11" s="7">
        <v>1</v>
      </c>
      <c r="B11" s="7">
        <v>1</v>
      </c>
      <c r="C11" s="7" t="s">
        <v>81</v>
      </c>
      <c r="D11" s="4" t="s">
        <v>40</v>
      </c>
      <c r="E11" s="4" t="s">
        <v>9</v>
      </c>
      <c r="F11" s="4" t="s">
        <v>48</v>
      </c>
    </row>
    <row r="12" spans="1:6" x14ac:dyDescent="0.3">
      <c r="A12" s="12">
        <v>1</v>
      </c>
      <c r="B12" s="14">
        <v>2</v>
      </c>
      <c r="C12" s="13" t="s">
        <v>100</v>
      </c>
      <c r="D12" s="8" t="s">
        <v>29</v>
      </c>
      <c r="E12" s="15" t="s">
        <v>42</v>
      </c>
      <c r="F12" s="15" t="s">
        <v>94</v>
      </c>
    </row>
    <row r="13" spans="1:6" x14ac:dyDescent="0.3">
      <c r="A13" s="12">
        <v>1</v>
      </c>
      <c r="B13" s="12">
        <v>1</v>
      </c>
      <c r="C13" s="12" t="s">
        <v>81</v>
      </c>
      <c r="D13" s="15" t="s">
        <v>40</v>
      </c>
      <c r="E13" s="15" t="s">
        <v>9</v>
      </c>
      <c r="F13" s="15" t="s">
        <v>49</v>
      </c>
    </row>
    <row r="14" spans="1:6" x14ac:dyDescent="0.3">
      <c r="A14" s="7">
        <v>1</v>
      </c>
      <c r="B14" s="14">
        <v>2</v>
      </c>
      <c r="C14" s="13" t="s">
        <v>100</v>
      </c>
      <c r="D14" s="8" t="s">
        <v>29</v>
      </c>
      <c r="E14" s="4" t="s">
        <v>42</v>
      </c>
      <c r="F14" s="4" t="s">
        <v>69</v>
      </c>
    </row>
    <row r="15" spans="1:6" x14ac:dyDescent="0.3">
      <c r="A15" s="7">
        <v>1</v>
      </c>
      <c r="B15" s="7">
        <v>2</v>
      </c>
      <c r="C15" s="7" t="s">
        <v>80</v>
      </c>
      <c r="D15" s="4" t="s">
        <v>40</v>
      </c>
      <c r="E15" s="4" t="s">
        <v>10</v>
      </c>
      <c r="F15" s="4" t="s">
        <v>50</v>
      </c>
    </row>
    <row r="16" spans="1:6" x14ac:dyDescent="0.3">
      <c r="A16" s="12">
        <v>1</v>
      </c>
      <c r="B16" s="14">
        <v>1</v>
      </c>
      <c r="C16" s="13" t="s">
        <v>99</v>
      </c>
      <c r="D16" s="8" t="s">
        <v>29</v>
      </c>
      <c r="E16" s="15" t="s">
        <v>42</v>
      </c>
      <c r="F16" s="15" t="s">
        <v>68</v>
      </c>
    </row>
    <row r="17" spans="1:6" x14ac:dyDescent="0.3">
      <c r="A17" s="7">
        <v>1</v>
      </c>
      <c r="B17" s="14">
        <v>1</v>
      </c>
      <c r="C17" s="13" t="s">
        <v>99</v>
      </c>
      <c r="D17" s="8" t="s">
        <v>29</v>
      </c>
      <c r="E17" s="4" t="s">
        <v>42</v>
      </c>
      <c r="F17" s="4" t="s">
        <v>67</v>
      </c>
    </row>
    <row r="18" spans="1:6" x14ac:dyDescent="0.3">
      <c r="A18" s="4">
        <v>2</v>
      </c>
      <c r="B18" s="9">
        <v>2</v>
      </c>
      <c r="C18" s="9" t="s">
        <v>100</v>
      </c>
      <c r="D18" s="9" t="s">
        <v>29</v>
      </c>
      <c r="E18" s="4" t="s">
        <v>42</v>
      </c>
      <c r="F18" s="4" t="s">
        <v>43</v>
      </c>
    </row>
    <row r="19" spans="1:6" x14ac:dyDescent="0.3">
      <c r="A19" s="4">
        <v>2</v>
      </c>
      <c r="B19" s="7">
        <v>1</v>
      </c>
      <c r="C19" s="7" t="s">
        <v>81</v>
      </c>
      <c r="D19" s="4" t="s">
        <v>40</v>
      </c>
      <c r="E19" s="4" t="s">
        <v>9</v>
      </c>
      <c r="F19" s="4" t="s">
        <v>58</v>
      </c>
    </row>
    <row r="20" spans="1:6" x14ac:dyDescent="0.3">
      <c r="A20" s="15">
        <v>2</v>
      </c>
      <c r="B20" s="9">
        <v>2</v>
      </c>
      <c r="C20" s="9" t="s">
        <v>100</v>
      </c>
      <c r="D20" s="9" t="s">
        <v>29</v>
      </c>
      <c r="E20" s="15" t="s">
        <v>42</v>
      </c>
      <c r="F20" s="15" t="s">
        <v>44</v>
      </c>
    </row>
    <row r="21" spans="1:6" x14ac:dyDescent="0.3">
      <c r="A21" s="4">
        <v>2</v>
      </c>
      <c r="B21" s="7">
        <v>1</v>
      </c>
      <c r="C21" s="7" t="s">
        <v>81</v>
      </c>
      <c r="D21" s="4" t="s">
        <v>40</v>
      </c>
      <c r="E21" s="4" t="s">
        <v>9</v>
      </c>
      <c r="F21" s="4" t="s">
        <v>57</v>
      </c>
    </row>
    <row r="22" spans="1:6" x14ac:dyDescent="0.3">
      <c r="A22" s="4">
        <v>2</v>
      </c>
      <c r="B22" s="7">
        <v>2</v>
      </c>
      <c r="C22" s="7" t="s">
        <v>80</v>
      </c>
      <c r="D22" s="4" t="s">
        <v>40</v>
      </c>
      <c r="E22" s="4" t="s">
        <v>10</v>
      </c>
      <c r="F22" s="4" t="s">
        <v>56</v>
      </c>
    </row>
    <row r="23" spans="1:6" x14ac:dyDescent="0.3">
      <c r="A23" s="4">
        <v>2</v>
      </c>
      <c r="B23" s="7">
        <v>1</v>
      </c>
      <c r="C23" s="7" t="s">
        <v>81</v>
      </c>
      <c r="D23" s="4" t="s">
        <v>40</v>
      </c>
      <c r="E23" s="4" t="s">
        <v>10</v>
      </c>
      <c r="F23" s="4" t="s">
        <v>55</v>
      </c>
    </row>
    <row r="24" spans="1:6" x14ac:dyDescent="0.3">
      <c r="A24" s="4">
        <v>2</v>
      </c>
      <c r="B24" s="9">
        <v>2</v>
      </c>
      <c r="C24" s="9" t="s">
        <v>100</v>
      </c>
      <c r="D24" s="9" t="s">
        <v>29</v>
      </c>
      <c r="E24" s="4" t="s">
        <v>42</v>
      </c>
      <c r="F24" s="4" t="s">
        <v>45</v>
      </c>
    </row>
    <row r="25" spans="1:6" x14ac:dyDescent="0.3">
      <c r="A25" s="4">
        <v>2</v>
      </c>
      <c r="B25" s="7">
        <v>2</v>
      </c>
      <c r="C25" s="7" t="s">
        <v>80</v>
      </c>
      <c r="D25" s="4" t="s">
        <v>40</v>
      </c>
      <c r="E25" s="4" t="s">
        <v>10</v>
      </c>
      <c r="F25" s="4" t="s">
        <v>54</v>
      </c>
    </row>
    <row r="26" spans="1:6" x14ac:dyDescent="0.3">
      <c r="A26" s="15">
        <v>2</v>
      </c>
      <c r="B26" s="9">
        <v>1</v>
      </c>
      <c r="C26" s="9" t="s">
        <v>99</v>
      </c>
      <c r="D26" s="9" t="s">
        <v>29</v>
      </c>
      <c r="E26" s="15" t="s">
        <v>42</v>
      </c>
      <c r="F26" s="15" t="s">
        <v>46</v>
      </c>
    </row>
    <row r="27" spans="1:6" x14ac:dyDescent="0.3">
      <c r="A27" s="4">
        <v>2</v>
      </c>
      <c r="B27" s="9">
        <v>1</v>
      </c>
      <c r="C27" s="9" t="s">
        <v>99</v>
      </c>
      <c r="D27" s="9" t="s">
        <v>29</v>
      </c>
      <c r="E27" s="4" t="s">
        <v>42</v>
      </c>
      <c r="F27" s="4" t="s">
        <v>47</v>
      </c>
    </row>
    <row r="28" spans="1:6" x14ac:dyDescent="0.3">
      <c r="A28" s="4">
        <v>2</v>
      </c>
      <c r="B28" s="7">
        <v>2</v>
      </c>
      <c r="C28" s="7" t="s">
        <v>80</v>
      </c>
      <c r="D28" s="4" t="s">
        <v>40</v>
      </c>
      <c r="E28" s="4" t="s">
        <v>9</v>
      </c>
      <c r="F28" s="4" t="s">
        <v>53</v>
      </c>
    </row>
    <row r="29" spans="1:6" x14ac:dyDescent="0.3">
      <c r="A29" s="15">
        <v>2</v>
      </c>
      <c r="B29" s="9">
        <v>1</v>
      </c>
      <c r="C29" s="9" t="s">
        <v>99</v>
      </c>
      <c r="D29" s="9" t="s">
        <v>29</v>
      </c>
      <c r="E29" s="15" t="s">
        <v>42</v>
      </c>
      <c r="F29" s="15" t="s">
        <v>48</v>
      </c>
    </row>
    <row r="30" spans="1:6" x14ac:dyDescent="0.3">
      <c r="A30" s="15">
        <v>2</v>
      </c>
      <c r="B30" s="12">
        <v>2</v>
      </c>
      <c r="C30" s="12" t="s">
        <v>80</v>
      </c>
      <c r="D30" s="15" t="s">
        <v>40</v>
      </c>
      <c r="E30" s="15" t="s">
        <v>9</v>
      </c>
      <c r="F30" s="15" t="s">
        <v>52</v>
      </c>
    </row>
    <row r="31" spans="1:6" x14ac:dyDescent="0.3">
      <c r="A31" s="4">
        <v>2</v>
      </c>
      <c r="B31" s="9">
        <v>2</v>
      </c>
      <c r="C31" s="9" t="s">
        <v>100</v>
      </c>
      <c r="D31" s="9" t="s">
        <v>29</v>
      </c>
      <c r="E31" s="4" t="s">
        <v>42</v>
      </c>
      <c r="F31" s="4" t="s">
        <v>49</v>
      </c>
    </row>
    <row r="32" spans="1:6" x14ac:dyDescent="0.3">
      <c r="A32" s="15">
        <v>2</v>
      </c>
      <c r="B32" s="9">
        <v>1</v>
      </c>
      <c r="C32" s="9" t="s">
        <v>99</v>
      </c>
      <c r="D32" s="9" t="s">
        <v>29</v>
      </c>
      <c r="E32" s="15" t="s">
        <v>42</v>
      </c>
      <c r="F32" s="15" t="s">
        <v>50</v>
      </c>
    </row>
    <row r="33" spans="1:6" x14ac:dyDescent="0.3">
      <c r="A33" s="15">
        <v>2</v>
      </c>
      <c r="B33" s="12">
        <v>1</v>
      </c>
      <c r="C33" s="12" t="s">
        <v>81</v>
      </c>
      <c r="D33" s="15" t="s">
        <v>40</v>
      </c>
      <c r="E33" s="15" t="s">
        <v>10</v>
      </c>
      <c r="F33" s="15" t="s">
        <v>51</v>
      </c>
    </row>
    <row r="34" spans="1:6" x14ac:dyDescent="0.3">
      <c r="A34" s="7">
        <v>3</v>
      </c>
      <c r="B34" s="7">
        <v>2</v>
      </c>
      <c r="C34" s="7" t="s">
        <v>80</v>
      </c>
      <c r="D34" s="4" t="s">
        <v>40</v>
      </c>
      <c r="E34" s="4" t="s">
        <v>10</v>
      </c>
      <c r="F34" s="4" t="s">
        <v>59</v>
      </c>
    </row>
    <row r="35" spans="1:6" x14ac:dyDescent="0.3">
      <c r="A35" s="7">
        <v>3</v>
      </c>
      <c r="B35" s="7">
        <v>1</v>
      </c>
      <c r="C35" s="7" t="s">
        <v>81</v>
      </c>
      <c r="D35" s="4" t="s">
        <v>40</v>
      </c>
      <c r="E35" s="4" t="s">
        <v>10</v>
      </c>
      <c r="F35" s="4" t="s">
        <v>60</v>
      </c>
    </row>
    <row r="36" spans="1:6" x14ac:dyDescent="0.3">
      <c r="A36" s="12">
        <v>3</v>
      </c>
      <c r="B36" s="10">
        <v>1</v>
      </c>
      <c r="C36" s="10" t="s">
        <v>99</v>
      </c>
      <c r="D36" s="10" t="s">
        <v>29</v>
      </c>
      <c r="E36" s="15" t="s">
        <v>42</v>
      </c>
      <c r="F36" s="15" t="s">
        <v>58</v>
      </c>
    </row>
    <row r="37" spans="1:6" x14ac:dyDescent="0.3">
      <c r="A37" s="12">
        <v>3</v>
      </c>
      <c r="B37" s="12">
        <v>2</v>
      </c>
      <c r="C37" s="12" t="s">
        <v>80</v>
      </c>
      <c r="D37" s="15" t="s">
        <v>40</v>
      </c>
      <c r="E37" s="15" t="s">
        <v>10</v>
      </c>
      <c r="F37" s="15" t="s">
        <v>61</v>
      </c>
    </row>
    <row r="38" spans="1:6" x14ac:dyDescent="0.3">
      <c r="A38" s="7">
        <v>3</v>
      </c>
      <c r="B38" s="10">
        <v>1</v>
      </c>
      <c r="C38" s="10" t="s">
        <v>99</v>
      </c>
      <c r="D38" s="10" t="s">
        <v>29</v>
      </c>
      <c r="E38" s="4" t="s">
        <v>42</v>
      </c>
      <c r="F38" s="4" t="s">
        <v>57</v>
      </c>
    </row>
    <row r="39" spans="1:6" x14ac:dyDescent="0.3">
      <c r="A39" s="7">
        <v>3</v>
      </c>
      <c r="B39" s="7">
        <v>2</v>
      </c>
      <c r="C39" s="7" t="s">
        <v>80</v>
      </c>
      <c r="D39" s="4" t="s">
        <v>40</v>
      </c>
      <c r="E39" s="4" t="s">
        <v>9</v>
      </c>
      <c r="F39" s="4" t="s">
        <v>62</v>
      </c>
    </row>
    <row r="40" spans="1:6" x14ac:dyDescent="0.3">
      <c r="A40" s="12">
        <v>3</v>
      </c>
      <c r="B40" s="10">
        <v>2</v>
      </c>
      <c r="C40" s="10" t="s">
        <v>100</v>
      </c>
      <c r="D40" s="10" t="s">
        <v>29</v>
      </c>
      <c r="E40" s="15" t="s">
        <v>42</v>
      </c>
      <c r="F40" s="15" t="s">
        <v>56</v>
      </c>
    </row>
    <row r="41" spans="1:6" x14ac:dyDescent="0.3">
      <c r="A41" s="7">
        <v>3</v>
      </c>
      <c r="B41" s="10">
        <v>1</v>
      </c>
      <c r="C41" s="10" t="s">
        <v>99</v>
      </c>
      <c r="D41" s="10" t="s">
        <v>29</v>
      </c>
      <c r="E41" s="4" t="s">
        <v>42</v>
      </c>
      <c r="F41" s="4" t="s">
        <v>55</v>
      </c>
    </row>
    <row r="42" spans="1:6" x14ac:dyDescent="0.3">
      <c r="A42" s="12">
        <v>3</v>
      </c>
      <c r="B42" s="10">
        <v>1</v>
      </c>
      <c r="C42" s="10" t="s">
        <v>99</v>
      </c>
      <c r="D42" s="10" t="s">
        <v>29</v>
      </c>
      <c r="E42" s="15" t="s">
        <v>42</v>
      </c>
      <c r="F42" s="15" t="s">
        <v>54</v>
      </c>
    </row>
    <row r="43" spans="1:6" x14ac:dyDescent="0.3">
      <c r="A43" s="12">
        <v>3</v>
      </c>
      <c r="B43" s="12">
        <v>2</v>
      </c>
      <c r="C43" s="12" t="s">
        <v>80</v>
      </c>
      <c r="D43" s="15" t="s">
        <v>40</v>
      </c>
      <c r="E43" s="15" t="s">
        <v>9</v>
      </c>
      <c r="F43" s="15" t="s">
        <v>63</v>
      </c>
    </row>
    <row r="44" spans="1:6" x14ac:dyDescent="0.3">
      <c r="A44" s="12">
        <v>3</v>
      </c>
      <c r="B44" s="12">
        <v>1</v>
      </c>
      <c r="C44" s="12" t="s">
        <v>81</v>
      </c>
      <c r="D44" s="15" t="s">
        <v>40</v>
      </c>
      <c r="E44" s="15" t="s">
        <v>10</v>
      </c>
      <c r="F44" s="15" t="s">
        <v>64</v>
      </c>
    </row>
    <row r="45" spans="1:6" x14ac:dyDescent="0.3">
      <c r="A45" s="7">
        <v>3</v>
      </c>
      <c r="B45" s="10">
        <v>2</v>
      </c>
      <c r="C45" s="10" t="s">
        <v>100</v>
      </c>
      <c r="D45" s="10" t="s">
        <v>29</v>
      </c>
      <c r="E45" s="4" t="s">
        <v>42</v>
      </c>
      <c r="F45" s="4" t="s">
        <v>53</v>
      </c>
    </row>
    <row r="46" spans="1:6" x14ac:dyDescent="0.3">
      <c r="A46" s="7">
        <v>3</v>
      </c>
      <c r="B46" s="7">
        <v>1</v>
      </c>
      <c r="C46" s="7" t="s">
        <v>81</v>
      </c>
      <c r="D46" s="4" t="s">
        <v>40</v>
      </c>
      <c r="E46" s="4" t="s">
        <v>9</v>
      </c>
      <c r="F46" s="4" t="s">
        <v>65</v>
      </c>
    </row>
    <row r="47" spans="1:6" x14ac:dyDescent="0.3">
      <c r="A47" s="12">
        <v>3</v>
      </c>
      <c r="B47" s="10">
        <v>2</v>
      </c>
      <c r="C47" s="10" t="s">
        <v>100</v>
      </c>
      <c r="D47" s="10" t="s">
        <v>29</v>
      </c>
      <c r="E47" s="15" t="s">
        <v>42</v>
      </c>
      <c r="F47" s="15" t="s">
        <v>52</v>
      </c>
    </row>
    <row r="48" spans="1:6" x14ac:dyDescent="0.3">
      <c r="A48" s="7">
        <v>3</v>
      </c>
      <c r="B48" s="10">
        <v>2</v>
      </c>
      <c r="C48" s="10" t="s">
        <v>100</v>
      </c>
      <c r="D48" s="10" t="s">
        <v>29</v>
      </c>
      <c r="E48" s="4" t="s">
        <v>42</v>
      </c>
      <c r="F48" s="4" t="s">
        <v>51</v>
      </c>
    </row>
    <row r="49" spans="1:6" x14ac:dyDescent="0.3">
      <c r="A49" s="7">
        <v>3</v>
      </c>
      <c r="B49" s="7">
        <v>1</v>
      </c>
      <c r="C49" s="7" t="s">
        <v>81</v>
      </c>
      <c r="D49" s="4" t="s">
        <v>40</v>
      </c>
      <c r="E49" s="4" t="s">
        <v>9</v>
      </c>
      <c r="F49" s="4" t="s">
        <v>66</v>
      </c>
    </row>
    <row r="50" spans="1:6" x14ac:dyDescent="0.3">
      <c r="A50" s="4">
        <v>4</v>
      </c>
      <c r="B50" s="11">
        <v>2</v>
      </c>
      <c r="C50" s="11" t="s">
        <v>100</v>
      </c>
      <c r="D50" s="11" t="s">
        <v>29</v>
      </c>
      <c r="E50" s="4" t="s">
        <v>42</v>
      </c>
      <c r="F50" s="4" t="s">
        <v>59</v>
      </c>
    </row>
    <row r="51" spans="1:6" x14ac:dyDescent="0.3">
      <c r="A51" s="4">
        <v>4</v>
      </c>
      <c r="B51" s="7">
        <v>1</v>
      </c>
      <c r="C51" s="7" t="s">
        <v>81</v>
      </c>
      <c r="D51" s="4" t="s">
        <v>40</v>
      </c>
      <c r="E51" s="4" t="s">
        <v>9</v>
      </c>
      <c r="F51" s="4" t="s">
        <v>74</v>
      </c>
    </row>
    <row r="52" spans="1:6" x14ac:dyDescent="0.3">
      <c r="A52" s="4">
        <v>4</v>
      </c>
      <c r="B52" s="7">
        <v>2</v>
      </c>
      <c r="C52" s="7" t="s">
        <v>80</v>
      </c>
      <c r="D52" s="4" t="s">
        <v>40</v>
      </c>
      <c r="E52" s="4" t="s">
        <v>10</v>
      </c>
      <c r="F52" s="4" t="s">
        <v>73</v>
      </c>
    </row>
    <row r="53" spans="1:6" x14ac:dyDescent="0.3">
      <c r="A53" s="15">
        <v>4</v>
      </c>
      <c r="B53" s="11">
        <v>1</v>
      </c>
      <c r="C53" s="11" t="s">
        <v>99</v>
      </c>
      <c r="D53" s="11" t="s">
        <v>29</v>
      </c>
      <c r="E53" s="15" t="s">
        <v>42</v>
      </c>
      <c r="F53" s="15" t="s">
        <v>60</v>
      </c>
    </row>
    <row r="54" spans="1:6" x14ac:dyDescent="0.3">
      <c r="A54" s="4">
        <v>4</v>
      </c>
      <c r="B54" s="11">
        <v>1</v>
      </c>
      <c r="C54" s="11" t="s">
        <v>99</v>
      </c>
      <c r="D54" s="11" t="s">
        <v>29</v>
      </c>
      <c r="E54" s="4" t="s">
        <v>42</v>
      </c>
      <c r="F54" s="4" t="s">
        <v>61</v>
      </c>
    </row>
    <row r="55" spans="1:6" x14ac:dyDescent="0.3">
      <c r="A55" s="4">
        <v>4</v>
      </c>
      <c r="B55" s="7">
        <v>2</v>
      </c>
      <c r="C55" s="7" t="s">
        <v>80</v>
      </c>
      <c r="D55" s="4" t="s">
        <v>40</v>
      </c>
      <c r="E55" s="4" t="s">
        <v>9</v>
      </c>
      <c r="F55" s="4" t="s">
        <v>72</v>
      </c>
    </row>
    <row r="56" spans="1:6" x14ac:dyDescent="0.3">
      <c r="A56" s="4">
        <v>4</v>
      </c>
      <c r="B56" s="7">
        <v>1</v>
      </c>
      <c r="C56" s="7" t="s">
        <v>81</v>
      </c>
      <c r="D56" s="4" t="s">
        <v>40</v>
      </c>
      <c r="E56" s="4" t="s">
        <v>10</v>
      </c>
      <c r="F56" s="4" t="s">
        <v>71</v>
      </c>
    </row>
    <row r="57" spans="1:6" x14ac:dyDescent="0.3">
      <c r="A57" s="15">
        <v>4</v>
      </c>
      <c r="B57" s="11">
        <v>2</v>
      </c>
      <c r="C57" s="11" t="s">
        <v>100</v>
      </c>
      <c r="D57" s="11" t="s">
        <v>29</v>
      </c>
      <c r="E57" s="15" t="s">
        <v>42</v>
      </c>
      <c r="F57" s="15" t="s">
        <v>62</v>
      </c>
    </row>
    <row r="58" spans="1:6" x14ac:dyDescent="0.3">
      <c r="A58" s="15">
        <v>4</v>
      </c>
      <c r="B58" s="12">
        <v>2</v>
      </c>
      <c r="C58" s="12" t="s">
        <v>80</v>
      </c>
      <c r="D58" s="15" t="s">
        <v>40</v>
      </c>
      <c r="E58" s="15" t="s">
        <v>10</v>
      </c>
      <c r="F58" s="15" t="s">
        <v>70</v>
      </c>
    </row>
    <row r="59" spans="1:6" x14ac:dyDescent="0.3">
      <c r="A59" s="15">
        <v>4</v>
      </c>
      <c r="B59" s="12">
        <v>2</v>
      </c>
      <c r="C59" s="12" t="s">
        <v>80</v>
      </c>
      <c r="D59" s="15" t="s">
        <v>40</v>
      </c>
      <c r="E59" s="15" t="s">
        <v>9</v>
      </c>
      <c r="F59" s="15" t="s">
        <v>69</v>
      </c>
    </row>
    <row r="60" spans="1:6" x14ac:dyDescent="0.3">
      <c r="A60" s="4">
        <v>4</v>
      </c>
      <c r="B60" s="11">
        <v>1</v>
      </c>
      <c r="C60" s="11" t="s">
        <v>99</v>
      </c>
      <c r="D60" s="11" t="s">
        <v>29</v>
      </c>
      <c r="E60" s="4" t="s">
        <v>42</v>
      </c>
      <c r="F60" s="4" t="s">
        <v>63</v>
      </c>
    </row>
    <row r="61" spans="1:6" x14ac:dyDescent="0.3">
      <c r="A61" s="15">
        <v>4</v>
      </c>
      <c r="B61" s="11">
        <v>2</v>
      </c>
      <c r="C61" s="11" t="s">
        <v>100</v>
      </c>
      <c r="D61" s="11" t="s">
        <v>29</v>
      </c>
      <c r="E61" s="15" t="s">
        <v>42</v>
      </c>
      <c r="F61" s="15" t="s">
        <v>64</v>
      </c>
    </row>
    <row r="62" spans="1:6" x14ac:dyDescent="0.3">
      <c r="A62" s="4">
        <v>4</v>
      </c>
      <c r="B62" s="11">
        <v>1</v>
      </c>
      <c r="C62" s="11" t="s">
        <v>99</v>
      </c>
      <c r="D62" s="11" t="s">
        <v>29</v>
      </c>
      <c r="E62" s="4" t="s">
        <v>42</v>
      </c>
      <c r="F62" s="4" t="s">
        <v>65</v>
      </c>
    </row>
    <row r="63" spans="1:6" x14ac:dyDescent="0.3">
      <c r="A63" s="4">
        <v>4</v>
      </c>
      <c r="B63" s="7">
        <v>1</v>
      </c>
      <c r="C63" s="7" t="s">
        <v>81</v>
      </c>
      <c r="D63" s="4" t="s">
        <v>40</v>
      </c>
      <c r="E63" s="4" t="s">
        <v>10</v>
      </c>
      <c r="F63" s="4" t="s">
        <v>68</v>
      </c>
    </row>
    <row r="64" spans="1:6" x14ac:dyDescent="0.3">
      <c r="A64" s="15">
        <v>4</v>
      </c>
      <c r="B64" s="11">
        <v>1</v>
      </c>
      <c r="C64" s="11" t="s">
        <v>100</v>
      </c>
      <c r="D64" s="11" t="s">
        <v>29</v>
      </c>
      <c r="E64" s="15" t="s">
        <v>42</v>
      </c>
      <c r="F64" s="15" t="s">
        <v>66</v>
      </c>
    </row>
    <row r="65" spans="1:6" x14ac:dyDescent="0.3">
      <c r="A65" s="15">
        <v>4</v>
      </c>
      <c r="B65" s="12">
        <v>1</v>
      </c>
      <c r="C65" s="12" t="s">
        <v>81</v>
      </c>
      <c r="D65" s="15" t="s">
        <v>40</v>
      </c>
      <c r="E65" s="15" t="s">
        <v>9</v>
      </c>
      <c r="F65" s="15" t="s">
        <v>67</v>
      </c>
    </row>
    <row r="66" spans="1:6" x14ac:dyDescent="0.3">
      <c r="A66" t="s">
        <v>25</v>
      </c>
    </row>
    <row r="67" spans="1:6" x14ac:dyDescent="0.3">
      <c r="A67" s="7">
        <v>1</v>
      </c>
      <c r="B67" s="4">
        <v>2</v>
      </c>
      <c r="C67" s="15" t="s">
        <v>80</v>
      </c>
      <c r="D67" s="4" t="s">
        <v>40</v>
      </c>
      <c r="E67" s="4" t="s">
        <v>9</v>
      </c>
      <c r="F67" s="4" t="s">
        <v>46</v>
      </c>
    </row>
    <row r="68" spans="1:6" x14ac:dyDescent="0.3">
      <c r="A68" s="12">
        <v>1</v>
      </c>
      <c r="B68" s="14">
        <v>1</v>
      </c>
      <c r="C68" s="13" t="s">
        <v>99</v>
      </c>
      <c r="D68" s="8" t="s">
        <v>29</v>
      </c>
      <c r="E68" s="15" t="s">
        <v>42</v>
      </c>
      <c r="F68" s="15" t="s">
        <v>72</v>
      </c>
    </row>
    <row r="69" spans="1:6" x14ac:dyDescent="0.3">
      <c r="A69" s="7">
        <v>1</v>
      </c>
      <c r="B69" s="14">
        <v>1</v>
      </c>
      <c r="C69" s="13" t="s">
        <v>99</v>
      </c>
      <c r="D69" s="8" t="s">
        <v>29</v>
      </c>
      <c r="E69" s="4" t="s">
        <v>42</v>
      </c>
      <c r="F69" s="4" t="s">
        <v>67</v>
      </c>
    </row>
    <row r="70" spans="1:6" x14ac:dyDescent="0.3">
      <c r="A70" s="7">
        <v>1</v>
      </c>
      <c r="B70" s="4">
        <v>2</v>
      </c>
      <c r="C70" s="15" t="s">
        <v>80</v>
      </c>
      <c r="D70" s="4" t="s">
        <v>40</v>
      </c>
      <c r="E70" s="4" t="s">
        <v>9</v>
      </c>
      <c r="F70" s="4" t="s">
        <v>45</v>
      </c>
    </row>
    <row r="71" spans="1:6" x14ac:dyDescent="0.3">
      <c r="A71" s="7">
        <v>1</v>
      </c>
      <c r="B71" s="4">
        <v>1</v>
      </c>
      <c r="C71" s="4" t="s">
        <v>81</v>
      </c>
      <c r="D71" s="4" t="s">
        <v>40</v>
      </c>
      <c r="E71" s="4" t="s">
        <v>10</v>
      </c>
      <c r="F71" s="4" t="s">
        <v>48</v>
      </c>
    </row>
    <row r="72" spans="1:6" x14ac:dyDescent="0.3">
      <c r="A72" s="12">
        <v>1</v>
      </c>
      <c r="B72" s="14">
        <v>2</v>
      </c>
      <c r="C72" s="13" t="s">
        <v>100</v>
      </c>
      <c r="D72" s="8" t="s">
        <v>29</v>
      </c>
      <c r="E72" s="15" t="s">
        <v>42</v>
      </c>
      <c r="F72" s="15" t="s">
        <v>71</v>
      </c>
    </row>
    <row r="73" spans="1:6" x14ac:dyDescent="0.3">
      <c r="A73" s="12">
        <v>1</v>
      </c>
      <c r="B73" s="15">
        <v>2</v>
      </c>
      <c r="C73" s="15" t="s">
        <v>80</v>
      </c>
      <c r="D73" s="15" t="s">
        <v>40</v>
      </c>
      <c r="E73" s="15" t="s">
        <v>10</v>
      </c>
      <c r="F73" s="15" t="s">
        <v>44</v>
      </c>
    </row>
    <row r="74" spans="1:6" x14ac:dyDescent="0.3">
      <c r="A74" s="12">
        <v>1</v>
      </c>
      <c r="B74" s="15">
        <v>1</v>
      </c>
      <c r="C74" s="15" t="s">
        <v>81</v>
      </c>
      <c r="D74" s="15" t="s">
        <v>40</v>
      </c>
      <c r="E74" s="15" t="s">
        <v>10</v>
      </c>
      <c r="F74" s="15" t="s">
        <v>43</v>
      </c>
    </row>
    <row r="75" spans="1:6" x14ac:dyDescent="0.3">
      <c r="A75" s="7">
        <v>1</v>
      </c>
      <c r="B75" s="14">
        <v>2</v>
      </c>
      <c r="C75" s="13" t="s">
        <v>100</v>
      </c>
      <c r="D75" s="8" t="s">
        <v>29</v>
      </c>
      <c r="E75" s="4" t="s">
        <v>42</v>
      </c>
      <c r="F75" s="4" t="s">
        <v>73</v>
      </c>
    </row>
    <row r="76" spans="1:6" x14ac:dyDescent="0.3">
      <c r="A76" s="7">
        <v>1</v>
      </c>
      <c r="B76" s="4">
        <v>1</v>
      </c>
      <c r="C76" s="15" t="s">
        <v>81</v>
      </c>
      <c r="D76" s="4" t="s">
        <v>40</v>
      </c>
      <c r="E76" s="4" t="s">
        <v>9</v>
      </c>
      <c r="F76" s="4" t="s">
        <v>50</v>
      </c>
    </row>
    <row r="77" spans="1:6" x14ac:dyDescent="0.3">
      <c r="A77" s="12">
        <v>1</v>
      </c>
      <c r="B77" s="14">
        <v>2</v>
      </c>
      <c r="C77" s="13" t="s">
        <v>100</v>
      </c>
      <c r="D77" s="8" t="s">
        <v>29</v>
      </c>
      <c r="E77" s="15" t="s">
        <v>42</v>
      </c>
      <c r="F77" s="15" t="s">
        <v>68</v>
      </c>
    </row>
    <row r="78" spans="1:6" x14ac:dyDescent="0.3">
      <c r="A78" s="12">
        <v>1</v>
      </c>
      <c r="B78" s="15">
        <v>1</v>
      </c>
      <c r="C78" s="15" t="s">
        <v>81</v>
      </c>
      <c r="D78" s="15" t="s">
        <v>40</v>
      </c>
      <c r="E78" s="15" t="s">
        <v>9</v>
      </c>
      <c r="F78" s="15" t="s">
        <v>47</v>
      </c>
    </row>
    <row r="79" spans="1:6" x14ac:dyDescent="0.3">
      <c r="A79" s="7">
        <v>1</v>
      </c>
      <c r="B79" s="14">
        <v>1</v>
      </c>
      <c r="C79" s="14" t="s">
        <v>99</v>
      </c>
      <c r="D79" s="8" t="s">
        <v>29</v>
      </c>
      <c r="E79" s="4" t="s">
        <v>42</v>
      </c>
      <c r="F79" s="4" t="s">
        <v>74</v>
      </c>
    </row>
    <row r="80" spans="1:6" x14ac:dyDescent="0.3">
      <c r="A80" s="12">
        <v>1</v>
      </c>
      <c r="B80" s="14">
        <v>2</v>
      </c>
      <c r="C80" s="13" t="s">
        <v>100</v>
      </c>
      <c r="D80" s="8" t="s">
        <v>29</v>
      </c>
      <c r="E80" s="15" t="s">
        <v>42</v>
      </c>
      <c r="F80" s="15" t="s">
        <v>69</v>
      </c>
    </row>
    <row r="81" spans="1:6" x14ac:dyDescent="0.3">
      <c r="A81" s="12">
        <v>1</v>
      </c>
      <c r="B81" s="15">
        <v>2</v>
      </c>
      <c r="C81" s="15" t="s">
        <v>80</v>
      </c>
      <c r="D81" s="15" t="s">
        <v>40</v>
      </c>
      <c r="E81" s="15" t="s">
        <v>10</v>
      </c>
      <c r="F81" s="15" t="s">
        <v>49</v>
      </c>
    </row>
    <row r="82" spans="1:6" x14ac:dyDescent="0.3">
      <c r="A82" s="7">
        <v>1</v>
      </c>
      <c r="B82" s="14">
        <v>1</v>
      </c>
      <c r="C82" s="14" t="s">
        <v>99</v>
      </c>
      <c r="D82" s="8" t="s">
        <v>29</v>
      </c>
      <c r="E82" s="4" t="s">
        <v>42</v>
      </c>
      <c r="F82" s="4" t="s">
        <v>70</v>
      </c>
    </row>
    <row r="83" spans="1:6" x14ac:dyDescent="0.3">
      <c r="A83" s="15">
        <v>2</v>
      </c>
      <c r="B83" s="15">
        <v>1</v>
      </c>
      <c r="C83" s="12" t="s">
        <v>81</v>
      </c>
      <c r="D83" s="15" t="s">
        <v>40</v>
      </c>
      <c r="E83" s="15" t="s">
        <v>9</v>
      </c>
      <c r="F83" s="15" t="s">
        <v>54</v>
      </c>
    </row>
    <row r="84" spans="1:6" x14ac:dyDescent="0.3">
      <c r="A84" s="4">
        <v>2</v>
      </c>
      <c r="B84" s="9">
        <v>2</v>
      </c>
      <c r="C84" s="9" t="s">
        <v>100</v>
      </c>
      <c r="D84" s="9" t="s">
        <v>29</v>
      </c>
      <c r="E84" s="4" t="s">
        <v>42</v>
      </c>
      <c r="F84" s="4" t="s">
        <v>46</v>
      </c>
    </row>
    <row r="85" spans="1:6" x14ac:dyDescent="0.3">
      <c r="A85" s="4">
        <v>2</v>
      </c>
      <c r="B85" s="4">
        <v>1</v>
      </c>
      <c r="C85" s="4" t="s">
        <v>81</v>
      </c>
      <c r="D85" s="4" t="s">
        <v>40</v>
      </c>
      <c r="E85" s="4" t="s">
        <v>9</v>
      </c>
      <c r="F85" s="4" t="s">
        <v>56</v>
      </c>
    </row>
    <row r="86" spans="1:6" x14ac:dyDescent="0.3">
      <c r="A86" s="4">
        <v>2</v>
      </c>
      <c r="B86" s="4">
        <v>2</v>
      </c>
      <c r="C86" s="4" t="s">
        <v>80</v>
      </c>
      <c r="D86" s="4" t="s">
        <v>40</v>
      </c>
      <c r="E86" s="4" t="s">
        <v>10</v>
      </c>
      <c r="F86" s="4" t="s">
        <v>58</v>
      </c>
    </row>
    <row r="87" spans="1:6" x14ac:dyDescent="0.3">
      <c r="A87" s="15">
        <v>2</v>
      </c>
      <c r="B87" s="9">
        <v>2</v>
      </c>
      <c r="C87" s="9" t="s">
        <v>100</v>
      </c>
      <c r="D87" s="9" t="s">
        <v>29</v>
      </c>
      <c r="E87" s="15" t="s">
        <v>42</v>
      </c>
      <c r="F87" s="15" t="s">
        <v>45</v>
      </c>
    </row>
    <row r="88" spans="1:6" x14ac:dyDescent="0.3">
      <c r="A88" s="15">
        <v>2</v>
      </c>
      <c r="B88" s="15">
        <v>1</v>
      </c>
      <c r="C88" s="15" t="s">
        <v>81</v>
      </c>
      <c r="D88" s="15" t="s">
        <v>40</v>
      </c>
      <c r="E88" s="15" t="s">
        <v>10</v>
      </c>
      <c r="F88" s="15" t="s">
        <v>52</v>
      </c>
    </row>
    <row r="89" spans="1:6" x14ac:dyDescent="0.3">
      <c r="A89" s="15">
        <v>2</v>
      </c>
      <c r="B89" s="15">
        <v>2</v>
      </c>
      <c r="C89" s="15" t="s">
        <v>80</v>
      </c>
      <c r="D89" s="15" t="s">
        <v>40</v>
      </c>
      <c r="E89" s="15" t="s">
        <v>10</v>
      </c>
      <c r="F89" s="15" t="s">
        <v>57</v>
      </c>
    </row>
    <row r="90" spans="1:6" x14ac:dyDescent="0.3">
      <c r="A90" s="4">
        <v>2</v>
      </c>
      <c r="B90" s="9">
        <v>1</v>
      </c>
      <c r="C90" s="9" t="s">
        <v>99</v>
      </c>
      <c r="D90" s="9" t="s">
        <v>29</v>
      </c>
      <c r="E90" s="4" t="s">
        <v>42</v>
      </c>
      <c r="F90" s="4" t="s">
        <v>48</v>
      </c>
    </row>
    <row r="91" spans="1:6" x14ac:dyDescent="0.3">
      <c r="A91" s="15">
        <v>2</v>
      </c>
      <c r="B91" s="9">
        <v>1</v>
      </c>
      <c r="C91" s="9" t="s">
        <v>99</v>
      </c>
      <c r="D91" s="9" t="s">
        <v>29</v>
      </c>
      <c r="E91" s="15" t="s">
        <v>42</v>
      </c>
      <c r="F91" s="15" t="s">
        <v>44</v>
      </c>
    </row>
    <row r="92" spans="1:6" x14ac:dyDescent="0.3">
      <c r="A92" s="15">
        <v>2</v>
      </c>
      <c r="B92" s="15">
        <v>2</v>
      </c>
      <c r="C92" s="15" t="s">
        <v>80</v>
      </c>
      <c r="D92" s="15" t="s">
        <v>40</v>
      </c>
      <c r="E92" s="15" t="s">
        <v>9</v>
      </c>
      <c r="F92" s="15" t="s">
        <v>55</v>
      </c>
    </row>
    <row r="93" spans="1:6" x14ac:dyDescent="0.3">
      <c r="A93" s="4">
        <v>2</v>
      </c>
      <c r="B93" s="9">
        <v>1</v>
      </c>
      <c r="C93" s="9" t="s">
        <v>99</v>
      </c>
      <c r="D93" s="9" t="s">
        <v>29</v>
      </c>
      <c r="E93" s="4" t="s">
        <v>42</v>
      </c>
      <c r="F93" s="4" t="s">
        <v>43</v>
      </c>
    </row>
    <row r="94" spans="1:6" x14ac:dyDescent="0.3">
      <c r="A94" s="4">
        <v>2</v>
      </c>
      <c r="B94" s="4">
        <v>2</v>
      </c>
      <c r="C94" s="4" t="s">
        <v>80</v>
      </c>
      <c r="D94" s="4" t="s">
        <v>40</v>
      </c>
      <c r="E94" s="4" t="s">
        <v>9</v>
      </c>
      <c r="F94" s="4" t="s">
        <v>51</v>
      </c>
    </row>
    <row r="95" spans="1:6" x14ac:dyDescent="0.3">
      <c r="A95" s="15">
        <v>2</v>
      </c>
      <c r="B95" s="9">
        <v>2</v>
      </c>
      <c r="C95" s="9" t="s">
        <v>100</v>
      </c>
      <c r="D95" s="9" t="s">
        <v>29</v>
      </c>
      <c r="E95" s="15" t="s">
        <v>42</v>
      </c>
      <c r="F95" s="15" t="s">
        <v>50</v>
      </c>
    </row>
    <row r="96" spans="1:6" x14ac:dyDescent="0.3">
      <c r="A96" s="4">
        <v>2</v>
      </c>
      <c r="B96" s="9">
        <v>1</v>
      </c>
      <c r="C96" s="9" t="s">
        <v>99</v>
      </c>
      <c r="D96" s="9" t="s">
        <v>29</v>
      </c>
      <c r="E96" s="4" t="s">
        <v>42</v>
      </c>
      <c r="F96" s="4" t="s">
        <v>47</v>
      </c>
    </row>
    <row r="97" spans="1:6" x14ac:dyDescent="0.3">
      <c r="A97" s="15">
        <v>2</v>
      </c>
      <c r="B97" s="9">
        <v>2</v>
      </c>
      <c r="C97" s="9" t="s">
        <v>100</v>
      </c>
      <c r="D97" s="9" t="s">
        <v>29</v>
      </c>
      <c r="E97" s="15" t="s">
        <v>42</v>
      </c>
      <c r="F97" s="15" t="s">
        <v>49</v>
      </c>
    </row>
    <row r="98" spans="1:6" x14ac:dyDescent="0.3">
      <c r="A98" s="15">
        <v>2</v>
      </c>
      <c r="B98" s="15">
        <v>1</v>
      </c>
      <c r="C98" s="15" t="s">
        <v>81</v>
      </c>
      <c r="D98" s="15" t="s">
        <v>40</v>
      </c>
      <c r="E98" s="15" t="s">
        <v>10</v>
      </c>
      <c r="F98" s="15" t="s">
        <v>53</v>
      </c>
    </row>
    <row r="99" spans="1:6" x14ac:dyDescent="0.3">
      <c r="A99" s="12">
        <v>3</v>
      </c>
      <c r="B99" s="10">
        <v>2</v>
      </c>
      <c r="C99" s="10" t="s">
        <v>100</v>
      </c>
      <c r="D99" s="10" t="s">
        <v>29</v>
      </c>
      <c r="E99" s="15" t="s">
        <v>42</v>
      </c>
      <c r="F99" s="15" t="s">
        <v>54</v>
      </c>
    </row>
    <row r="100" spans="1:6" x14ac:dyDescent="0.3">
      <c r="A100" s="12">
        <v>3</v>
      </c>
      <c r="B100" s="15">
        <v>2</v>
      </c>
      <c r="C100" s="15" t="s">
        <v>80</v>
      </c>
      <c r="D100" s="15" t="s">
        <v>40</v>
      </c>
      <c r="E100" s="15" t="s">
        <v>10</v>
      </c>
      <c r="F100" s="15" t="s">
        <v>64</v>
      </c>
    </row>
    <row r="101" spans="1:6" x14ac:dyDescent="0.3">
      <c r="A101" s="7">
        <v>3</v>
      </c>
      <c r="B101" s="10">
        <v>2</v>
      </c>
      <c r="C101" s="10" t="s">
        <v>100</v>
      </c>
      <c r="D101" s="10" t="s">
        <v>29</v>
      </c>
      <c r="E101" s="4" t="s">
        <v>42</v>
      </c>
      <c r="F101" s="4" t="s">
        <v>56</v>
      </c>
    </row>
    <row r="102" spans="1:6" x14ac:dyDescent="0.3">
      <c r="A102" s="7">
        <v>3</v>
      </c>
      <c r="B102" s="4">
        <v>1</v>
      </c>
      <c r="C102" s="4" t="s">
        <v>81</v>
      </c>
      <c r="D102" s="4" t="s">
        <v>40</v>
      </c>
      <c r="E102" s="4" t="s">
        <v>10</v>
      </c>
      <c r="F102" s="4" t="s">
        <v>62</v>
      </c>
    </row>
    <row r="103" spans="1:6" x14ac:dyDescent="0.3">
      <c r="A103" s="7">
        <v>3</v>
      </c>
      <c r="B103" s="4">
        <v>2</v>
      </c>
      <c r="C103" s="4" t="s">
        <v>80</v>
      </c>
      <c r="D103" s="4" t="s">
        <v>40</v>
      </c>
      <c r="E103" s="4" t="s">
        <v>10</v>
      </c>
      <c r="F103" s="4" t="s">
        <v>66</v>
      </c>
    </row>
    <row r="104" spans="1:6" x14ac:dyDescent="0.3">
      <c r="A104" s="12">
        <v>3</v>
      </c>
      <c r="B104" s="10">
        <v>1</v>
      </c>
      <c r="C104" s="10" t="s">
        <v>99</v>
      </c>
      <c r="D104" s="10" t="s">
        <v>29</v>
      </c>
      <c r="E104" s="15" t="s">
        <v>42</v>
      </c>
      <c r="F104" s="15" t="s">
        <v>58</v>
      </c>
    </row>
    <row r="105" spans="1:6" x14ac:dyDescent="0.3">
      <c r="A105" s="12">
        <v>3</v>
      </c>
      <c r="B105" s="15">
        <v>2</v>
      </c>
      <c r="C105" s="15" t="s">
        <v>80</v>
      </c>
      <c r="D105" s="15" t="s">
        <v>40</v>
      </c>
      <c r="E105" s="15" t="s">
        <v>9</v>
      </c>
      <c r="F105" s="15" t="s">
        <v>65</v>
      </c>
    </row>
    <row r="106" spans="1:6" x14ac:dyDescent="0.3">
      <c r="A106" s="7">
        <v>3</v>
      </c>
      <c r="B106" s="10">
        <v>1</v>
      </c>
      <c r="C106" s="10" t="s">
        <v>99</v>
      </c>
      <c r="D106" s="10" t="s">
        <v>29</v>
      </c>
      <c r="E106" s="4" t="s">
        <v>42</v>
      </c>
      <c r="F106" s="4" t="s">
        <v>52</v>
      </c>
    </row>
    <row r="107" spans="1:6" x14ac:dyDescent="0.3">
      <c r="A107" s="12">
        <v>3</v>
      </c>
      <c r="B107" s="10">
        <v>1</v>
      </c>
      <c r="C107" s="10" t="s">
        <v>99</v>
      </c>
      <c r="D107" s="10" t="s">
        <v>29</v>
      </c>
      <c r="E107" s="15" t="s">
        <v>42</v>
      </c>
      <c r="F107" s="15" t="s">
        <v>57</v>
      </c>
    </row>
    <row r="108" spans="1:6" x14ac:dyDescent="0.3">
      <c r="A108" s="12">
        <v>3</v>
      </c>
      <c r="B108" s="15">
        <v>2</v>
      </c>
      <c r="C108" s="15" t="s">
        <v>80</v>
      </c>
      <c r="D108" s="15" t="s">
        <v>40</v>
      </c>
      <c r="E108" s="15" t="s">
        <v>9</v>
      </c>
      <c r="F108" s="15" t="s">
        <v>59</v>
      </c>
    </row>
    <row r="109" spans="1:6" x14ac:dyDescent="0.3">
      <c r="A109" s="12">
        <v>3</v>
      </c>
      <c r="B109" s="15">
        <v>1</v>
      </c>
      <c r="C109" s="15" t="s">
        <v>81</v>
      </c>
      <c r="D109" s="15" t="s">
        <v>40</v>
      </c>
      <c r="E109" s="15" t="s">
        <v>10</v>
      </c>
      <c r="F109" s="15" t="s">
        <v>61</v>
      </c>
    </row>
    <row r="110" spans="1:6" x14ac:dyDescent="0.3">
      <c r="A110" s="7">
        <v>3</v>
      </c>
      <c r="B110" s="10">
        <v>2</v>
      </c>
      <c r="C110" s="10" t="s">
        <v>100</v>
      </c>
      <c r="D110" s="10" t="s">
        <v>29</v>
      </c>
      <c r="E110" s="4" t="s">
        <v>42</v>
      </c>
      <c r="F110" s="4" t="s">
        <v>55</v>
      </c>
    </row>
    <row r="111" spans="1:6" x14ac:dyDescent="0.3">
      <c r="A111" s="7">
        <v>3</v>
      </c>
      <c r="B111" s="4">
        <v>1</v>
      </c>
      <c r="C111" s="4" t="s">
        <v>81</v>
      </c>
      <c r="D111" s="4" t="s">
        <v>40</v>
      </c>
      <c r="E111" s="4" t="s">
        <v>9</v>
      </c>
      <c r="F111" s="4" t="s">
        <v>63</v>
      </c>
    </row>
    <row r="112" spans="1:6" x14ac:dyDescent="0.3">
      <c r="A112" s="12">
        <v>3</v>
      </c>
      <c r="B112" s="10">
        <v>2</v>
      </c>
      <c r="C112" s="10" t="s">
        <v>100</v>
      </c>
      <c r="D112" s="10" t="s">
        <v>29</v>
      </c>
      <c r="E112" s="15" t="s">
        <v>42</v>
      </c>
      <c r="F112" s="15" t="s">
        <v>51</v>
      </c>
    </row>
    <row r="113" spans="1:6" x14ac:dyDescent="0.3">
      <c r="A113" s="12">
        <v>3</v>
      </c>
      <c r="B113" s="15">
        <v>1</v>
      </c>
      <c r="C113" s="15" t="s">
        <v>81</v>
      </c>
      <c r="D113" s="15" t="s">
        <v>40</v>
      </c>
      <c r="E113" s="15" t="s">
        <v>9</v>
      </c>
      <c r="F113" s="15" t="s">
        <v>60</v>
      </c>
    </row>
    <row r="114" spans="1:6" x14ac:dyDescent="0.3">
      <c r="A114" s="7">
        <v>3</v>
      </c>
      <c r="B114" s="10">
        <v>1</v>
      </c>
      <c r="C114" s="10" t="s">
        <v>99</v>
      </c>
      <c r="D114" s="10" t="s">
        <v>29</v>
      </c>
      <c r="E114" s="4" t="s">
        <v>42</v>
      </c>
      <c r="F114" s="4" t="s">
        <v>53</v>
      </c>
    </row>
    <row r="115" spans="1:6" x14ac:dyDescent="0.3">
      <c r="A115" s="4">
        <v>4</v>
      </c>
      <c r="B115" s="11">
        <v>2</v>
      </c>
      <c r="C115" s="11" t="s">
        <v>100</v>
      </c>
      <c r="D115" s="11" t="s">
        <v>29</v>
      </c>
      <c r="E115" s="4" t="s">
        <v>42</v>
      </c>
      <c r="F115" s="4" t="s">
        <v>64</v>
      </c>
    </row>
    <row r="116" spans="1:6" x14ac:dyDescent="0.3">
      <c r="A116" s="4">
        <v>4</v>
      </c>
      <c r="B116" s="4">
        <v>1</v>
      </c>
      <c r="C116" s="4" t="s">
        <v>81</v>
      </c>
      <c r="D116" s="4" t="s">
        <v>40</v>
      </c>
      <c r="E116" s="4" t="s">
        <v>9</v>
      </c>
      <c r="F116" s="4" t="s">
        <v>72</v>
      </c>
    </row>
    <row r="117" spans="1:6" x14ac:dyDescent="0.3">
      <c r="A117" s="4">
        <v>4</v>
      </c>
      <c r="B117" s="4">
        <v>2</v>
      </c>
      <c r="C117" s="4" t="s">
        <v>80</v>
      </c>
      <c r="D117" s="4" t="s">
        <v>40</v>
      </c>
      <c r="E117" s="4" t="s">
        <v>10</v>
      </c>
      <c r="F117" s="4" t="s">
        <v>67</v>
      </c>
    </row>
    <row r="118" spans="1:6" x14ac:dyDescent="0.3">
      <c r="A118" s="15">
        <v>4</v>
      </c>
      <c r="B118" s="11">
        <v>1</v>
      </c>
      <c r="C118" s="11" t="s">
        <v>99</v>
      </c>
      <c r="D118" s="11" t="s">
        <v>29</v>
      </c>
      <c r="E118" s="15" t="s">
        <v>42</v>
      </c>
      <c r="F118" s="15" t="s">
        <v>62</v>
      </c>
    </row>
    <row r="119" spans="1:6" x14ac:dyDescent="0.3">
      <c r="A119" s="15">
        <v>4</v>
      </c>
      <c r="B119" s="15">
        <v>2</v>
      </c>
      <c r="C119" s="15" t="s">
        <v>80</v>
      </c>
      <c r="D119" s="15" t="s">
        <v>40</v>
      </c>
      <c r="E119" s="15" t="s">
        <v>9</v>
      </c>
      <c r="F119" s="15" t="s">
        <v>71</v>
      </c>
    </row>
    <row r="120" spans="1:6" x14ac:dyDescent="0.3">
      <c r="A120" s="15">
        <v>4</v>
      </c>
      <c r="B120" s="15">
        <v>1</v>
      </c>
      <c r="C120" s="15" t="s">
        <v>81</v>
      </c>
      <c r="D120" s="15" t="s">
        <v>40</v>
      </c>
      <c r="E120" s="15" t="s">
        <v>10</v>
      </c>
      <c r="F120" s="15" t="s">
        <v>73</v>
      </c>
    </row>
    <row r="121" spans="1:6" x14ac:dyDescent="0.3">
      <c r="A121" s="4">
        <v>4</v>
      </c>
      <c r="B121" s="11">
        <v>2</v>
      </c>
      <c r="C121" s="11" t="s">
        <v>100</v>
      </c>
      <c r="D121" s="11" t="s">
        <v>29</v>
      </c>
      <c r="E121" s="4" t="s">
        <v>42</v>
      </c>
      <c r="F121" s="4" t="s">
        <v>66</v>
      </c>
    </row>
    <row r="122" spans="1:6" x14ac:dyDescent="0.3">
      <c r="A122" s="15">
        <v>4</v>
      </c>
      <c r="B122" s="11">
        <v>1</v>
      </c>
      <c r="C122" s="11" t="s">
        <v>99</v>
      </c>
      <c r="D122" s="11" t="s">
        <v>29</v>
      </c>
      <c r="E122" s="15" t="s">
        <v>42</v>
      </c>
      <c r="F122" s="15" t="s">
        <v>65</v>
      </c>
    </row>
    <row r="123" spans="1:6" x14ac:dyDescent="0.3">
      <c r="A123" s="4">
        <v>4</v>
      </c>
      <c r="B123" s="11">
        <v>2</v>
      </c>
      <c r="C123" s="11" t="s">
        <v>100</v>
      </c>
      <c r="D123" s="11" t="s">
        <v>29</v>
      </c>
      <c r="E123" s="4" t="s">
        <v>42</v>
      </c>
      <c r="F123" s="4" t="s">
        <v>59</v>
      </c>
    </row>
    <row r="124" spans="1:6" x14ac:dyDescent="0.3">
      <c r="A124" s="4">
        <v>4</v>
      </c>
      <c r="B124" s="4">
        <v>2</v>
      </c>
      <c r="C124" s="4" t="s">
        <v>80</v>
      </c>
      <c r="D124" s="4" t="s">
        <v>40</v>
      </c>
      <c r="E124" s="4" t="s">
        <v>10</v>
      </c>
      <c r="F124" s="4" t="s">
        <v>68</v>
      </c>
    </row>
    <row r="125" spans="1:6" x14ac:dyDescent="0.3">
      <c r="A125" s="4">
        <v>4</v>
      </c>
      <c r="B125" s="4">
        <v>2</v>
      </c>
      <c r="C125" s="4" t="s">
        <v>80</v>
      </c>
      <c r="D125" s="4" t="s">
        <v>40</v>
      </c>
      <c r="E125" s="4" t="s">
        <v>9</v>
      </c>
      <c r="F125" s="4" t="s">
        <v>74</v>
      </c>
    </row>
    <row r="126" spans="1:6" x14ac:dyDescent="0.3">
      <c r="A126" s="15">
        <v>4</v>
      </c>
      <c r="B126" s="11">
        <v>1</v>
      </c>
      <c r="C126" s="11" t="s">
        <v>99</v>
      </c>
      <c r="D126" s="11" t="s">
        <v>29</v>
      </c>
      <c r="E126" s="15" t="s">
        <v>42</v>
      </c>
      <c r="F126" s="15" t="s">
        <v>61</v>
      </c>
    </row>
    <row r="127" spans="1:6" x14ac:dyDescent="0.3">
      <c r="A127" s="15">
        <v>4</v>
      </c>
      <c r="B127" s="15">
        <v>1</v>
      </c>
      <c r="C127" s="15" t="s">
        <v>81</v>
      </c>
      <c r="D127" s="15" t="s">
        <v>40</v>
      </c>
      <c r="E127" s="15" t="s">
        <v>10</v>
      </c>
      <c r="F127" s="15" t="s">
        <v>69</v>
      </c>
    </row>
    <row r="128" spans="1:6" x14ac:dyDescent="0.3">
      <c r="A128" s="15">
        <v>4</v>
      </c>
      <c r="B128" s="15">
        <v>1</v>
      </c>
      <c r="C128" s="15" t="s">
        <v>81</v>
      </c>
      <c r="D128" s="15" t="s">
        <v>40</v>
      </c>
      <c r="E128" s="15" t="s">
        <v>9</v>
      </c>
      <c r="F128" s="15" t="s">
        <v>70</v>
      </c>
    </row>
    <row r="129" spans="1:6" x14ac:dyDescent="0.3">
      <c r="A129" s="4">
        <v>4</v>
      </c>
      <c r="B129" s="11">
        <v>2</v>
      </c>
      <c r="C129" s="11" t="s">
        <v>100</v>
      </c>
      <c r="D129" s="11" t="s">
        <v>29</v>
      </c>
      <c r="E129" s="4" t="s">
        <v>42</v>
      </c>
      <c r="F129" s="4" t="s">
        <v>63</v>
      </c>
    </row>
    <row r="130" spans="1:6" x14ac:dyDescent="0.3">
      <c r="A130" s="15">
        <v>4</v>
      </c>
      <c r="B130" s="11">
        <v>1</v>
      </c>
      <c r="C130" s="11" t="s">
        <v>99</v>
      </c>
      <c r="D130" s="11" t="s">
        <v>29</v>
      </c>
      <c r="E130" s="15" t="s">
        <v>42</v>
      </c>
      <c r="F130" s="15" t="s">
        <v>60</v>
      </c>
    </row>
    <row r="131" spans="1:6" x14ac:dyDescent="0.3">
      <c r="A131" t="s">
        <v>25</v>
      </c>
    </row>
    <row r="132" spans="1:6" x14ac:dyDescent="0.3">
      <c r="A132" s="12">
        <v>1</v>
      </c>
      <c r="B132" s="14">
        <v>2</v>
      </c>
      <c r="C132" s="13" t="s">
        <v>100</v>
      </c>
      <c r="D132" s="8" t="s">
        <v>29</v>
      </c>
      <c r="E132" s="15" t="s">
        <v>42</v>
      </c>
      <c r="F132" s="15" t="s">
        <v>71</v>
      </c>
    </row>
    <row r="133" spans="1:6" x14ac:dyDescent="0.3">
      <c r="A133" s="12">
        <v>1</v>
      </c>
      <c r="B133" s="12">
        <v>2</v>
      </c>
      <c r="C133" s="12" t="s">
        <v>80</v>
      </c>
      <c r="D133" s="15" t="s">
        <v>40</v>
      </c>
      <c r="E133" s="15" t="s">
        <v>9</v>
      </c>
      <c r="F133" s="15" t="s">
        <v>49</v>
      </c>
    </row>
    <row r="134" spans="1:6" x14ac:dyDescent="0.3">
      <c r="A134" s="7">
        <v>1</v>
      </c>
      <c r="B134" s="14">
        <v>1</v>
      </c>
      <c r="C134" s="14" t="s">
        <v>99</v>
      </c>
      <c r="D134" s="8" t="s">
        <v>29</v>
      </c>
      <c r="E134" s="4" t="s">
        <v>42</v>
      </c>
      <c r="F134" s="4" t="s">
        <v>69</v>
      </c>
    </row>
    <row r="135" spans="1:6" x14ac:dyDescent="0.3">
      <c r="A135" s="12">
        <v>1</v>
      </c>
      <c r="B135" s="14">
        <v>1</v>
      </c>
      <c r="C135" s="14" t="s">
        <v>99</v>
      </c>
      <c r="D135" s="8" t="s">
        <v>29</v>
      </c>
      <c r="E135" s="15" t="s">
        <v>42</v>
      </c>
      <c r="F135" s="15" t="s">
        <v>73</v>
      </c>
    </row>
    <row r="136" spans="1:6" x14ac:dyDescent="0.3">
      <c r="A136" s="12">
        <v>1</v>
      </c>
      <c r="B136" s="12">
        <v>2</v>
      </c>
      <c r="C136" s="12" t="s">
        <v>80</v>
      </c>
      <c r="D136" s="15" t="s">
        <v>40</v>
      </c>
      <c r="E136" s="15" t="s">
        <v>9</v>
      </c>
      <c r="F136" s="15" t="s">
        <v>48</v>
      </c>
    </row>
    <row r="137" spans="1:6" x14ac:dyDescent="0.3">
      <c r="A137" s="12">
        <v>1</v>
      </c>
      <c r="B137" s="12">
        <v>1</v>
      </c>
      <c r="C137" s="12" t="s">
        <v>81</v>
      </c>
      <c r="D137" s="15" t="s">
        <v>40</v>
      </c>
      <c r="E137" s="15" t="s">
        <v>10</v>
      </c>
      <c r="F137" s="15" t="s">
        <v>50</v>
      </c>
    </row>
    <row r="138" spans="1:6" x14ac:dyDescent="0.3">
      <c r="A138" s="7">
        <v>1</v>
      </c>
      <c r="B138" s="14">
        <v>2</v>
      </c>
      <c r="C138" s="14" t="s">
        <v>100</v>
      </c>
      <c r="D138" s="8" t="s">
        <v>29</v>
      </c>
      <c r="E138" s="4" t="s">
        <v>42</v>
      </c>
      <c r="F138" s="4" t="s">
        <v>70</v>
      </c>
    </row>
    <row r="139" spans="1:6" x14ac:dyDescent="0.3">
      <c r="A139" s="7">
        <v>1</v>
      </c>
      <c r="B139" s="7">
        <v>2</v>
      </c>
      <c r="C139" s="7" t="s">
        <v>80</v>
      </c>
      <c r="D139" s="4" t="s">
        <v>40</v>
      </c>
      <c r="E139" s="4" t="s">
        <v>10</v>
      </c>
      <c r="F139" s="4" t="s">
        <v>43</v>
      </c>
    </row>
    <row r="140" spans="1:6" x14ac:dyDescent="0.3">
      <c r="A140" s="7">
        <v>1</v>
      </c>
      <c r="B140" s="7">
        <v>1</v>
      </c>
      <c r="C140" s="7" t="s">
        <v>81</v>
      </c>
      <c r="D140" s="4" t="s">
        <v>40</v>
      </c>
      <c r="E140" s="4" t="s">
        <v>10</v>
      </c>
      <c r="F140" s="4" t="s">
        <v>46</v>
      </c>
    </row>
    <row r="141" spans="1:6" x14ac:dyDescent="0.3">
      <c r="A141" s="12">
        <v>1</v>
      </c>
      <c r="B141" s="14">
        <v>1</v>
      </c>
      <c r="C141" s="13" t="s">
        <v>99</v>
      </c>
      <c r="D141" s="8" t="s">
        <v>29</v>
      </c>
      <c r="E141" s="15" t="s">
        <v>42</v>
      </c>
      <c r="F141" s="15" t="s">
        <v>74</v>
      </c>
    </row>
    <row r="142" spans="1:6" x14ac:dyDescent="0.3">
      <c r="A142" s="7">
        <v>1</v>
      </c>
      <c r="B142" s="14">
        <v>2</v>
      </c>
      <c r="C142" s="14" t="s">
        <v>100</v>
      </c>
      <c r="D142" s="8" t="s">
        <v>29</v>
      </c>
      <c r="E142" s="4" t="s">
        <v>42</v>
      </c>
      <c r="F142" s="4" t="s">
        <v>67</v>
      </c>
    </row>
    <row r="143" spans="1:6" x14ac:dyDescent="0.3">
      <c r="A143" s="7">
        <v>1</v>
      </c>
      <c r="B143" s="7">
        <v>1</v>
      </c>
      <c r="C143" s="12" t="s">
        <v>81</v>
      </c>
      <c r="D143" s="4" t="s">
        <v>40</v>
      </c>
      <c r="E143" s="4" t="s">
        <v>9</v>
      </c>
      <c r="F143" s="4" t="s">
        <v>44</v>
      </c>
    </row>
    <row r="144" spans="1:6" x14ac:dyDescent="0.3">
      <c r="A144" s="12">
        <v>1</v>
      </c>
      <c r="B144" s="14">
        <v>1</v>
      </c>
      <c r="C144" s="13" t="s">
        <v>99</v>
      </c>
      <c r="D144" s="8" t="s">
        <v>29</v>
      </c>
      <c r="E144" s="15" t="s">
        <v>42</v>
      </c>
      <c r="F144" s="15" t="s">
        <v>72</v>
      </c>
    </row>
    <row r="145" spans="1:6" x14ac:dyDescent="0.3">
      <c r="A145" s="7">
        <v>1</v>
      </c>
      <c r="B145" s="14">
        <v>2</v>
      </c>
      <c r="C145" s="14" t="s">
        <v>100</v>
      </c>
      <c r="D145" s="8" t="s">
        <v>29</v>
      </c>
      <c r="E145" s="4" t="s">
        <v>42</v>
      </c>
      <c r="F145" s="4" t="s">
        <v>68</v>
      </c>
    </row>
    <row r="146" spans="1:6" x14ac:dyDescent="0.3">
      <c r="A146" s="7">
        <v>1</v>
      </c>
      <c r="B146" s="7">
        <v>1</v>
      </c>
      <c r="C146" s="12" t="s">
        <v>81</v>
      </c>
      <c r="D146" s="4" t="s">
        <v>40</v>
      </c>
      <c r="E146" s="4" t="s">
        <v>9</v>
      </c>
      <c r="F146" s="4" t="s">
        <v>45</v>
      </c>
    </row>
    <row r="147" spans="1:6" x14ac:dyDescent="0.3">
      <c r="A147" s="7">
        <v>1</v>
      </c>
      <c r="B147" s="7">
        <v>2</v>
      </c>
      <c r="C147" s="7" t="s">
        <v>80</v>
      </c>
      <c r="D147" s="4" t="s">
        <v>40</v>
      </c>
      <c r="E147" s="4" t="s">
        <v>10</v>
      </c>
      <c r="F147" s="4" t="s">
        <v>47</v>
      </c>
    </row>
    <row r="148" spans="1:6" x14ac:dyDescent="0.3">
      <c r="A148" s="15">
        <v>2</v>
      </c>
      <c r="B148" s="12">
        <v>1</v>
      </c>
      <c r="C148" s="15" t="s">
        <v>81</v>
      </c>
      <c r="D148" s="15" t="s">
        <v>40</v>
      </c>
      <c r="E148" s="15" t="s">
        <v>9</v>
      </c>
      <c r="F148" s="15" t="s">
        <v>52</v>
      </c>
    </row>
    <row r="149" spans="1:6" x14ac:dyDescent="0.3">
      <c r="A149" s="4">
        <v>2</v>
      </c>
      <c r="B149" s="9">
        <v>2</v>
      </c>
      <c r="C149" s="9" t="s">
        <v>100</v>
      </c>
      <c r="D149" s="9" t="s">
        <v>29</v>
      </c>
      <c r="E149" s="4" t="s">
        <v>42</v>
      </c>
      <c r="F149" s="4" t="s">
        <v>49</v>
      </c>
    </row>
    <row r="150" spans="1:6" x14ac:dyDescent="0.3">
      <c r="A150" s="15">
        <v>2</v>
      </c>
      <c r="B150" s="9">
        <v>2</v>
      </c>
      <c r="C150" s="9" t="s">
        <v>100</v>
      </c>
      <c r="D150" s="9" t="s">
        <v>29</v>
      </c>
      <c r="E150" s="15" t="s">
        <v>42</v>
      </c>
      <c r="F150" s="15" t="s">
        <v>48</v>
      </c>
    </row>
    <row r="151" spans="1:6" x14ac:dyDescent="0.3">
      <c r="A151" s="15">
        <v>2</v>
      </c>
      <c r="B151" s="12">
        <v>1</v>
      </c>
      <c r="C151" s="12" t="s">
        <v>81</v>
      </c>
      <c r="D151" s="15" t="s">
        <v>40</v>
      </c>
      <c r="E151" s="15" t="s">
        <v>9</v>
      </c>
      <c r="F151" s="15" t="s">
        <v>53</v>
      </c>
    </row>
    <row r="152" spans="1:6" x14ac:dyDescent="0.3">
      <c r="A152" s="15">
        <v>2</v>
      </c>
      <c r="B152" s="12">
        <v>2</v>
      </c>
      <c r="C152" s="12" t="s">
        <v>80</v>
      </c>
      <c r="D152" s="15" t="s">
        <v>40</v>
      </c>
      <c r="E152" s="15" t="s">
        <v>10</v>
      </c>
      <c r="F152" s="15" t="s">
        <v>55</v>
      </c>
    </row>
    <row r="153" spans="1:6" x14ac:dyDescent="0.3">
      <c r="A153" s="4">
        <v>2</v>
      </c>
      <c r="B153" s="9">
        <v>1</v>
      </c>
      <c r="C153" s="9" t="s">
        <v>99</v>
      </c>
      <c r="D153" s="9" t="s">
        <v>29</v>
      </c>
      <c r="E153" s="4" t="s">
        <v>42</v>
      </c>
      <c r="F153" s="4" t="s">
        <v>50</v>
      </c>
    </row>
    <row r="154" spans="1:6" x14ac:dyDescent="0.3">
      <c r="A154" s="4">
        <v>2</v>
      </c>
      <c r="B154" s="7">
        <v>1</v>
      </c>
      <c r="C154" s="7" t="s">
        <v>81</v>
      </c>
      <c r="D154" s="4" t="s">
        <v>40</v>
      </c>
      <c r="E154" s="4" t="s">
        <v>10</v>
      </c>
      <c r="F154" s="4" t="s">
        <v>54</v>
      </c>
    </row>
    <row r="155" spans="1:6" x14ac:dyDescent="0.3">
      <c r="A155" s="4">
        <v>2</v>
      </c>
      <c r="B155" s="7">
        <v>2</v>
      </c>
      <c r="C155" s="7" t="s">
        <v>80</v>
      </c>
      <c r="D155" s="4" t="s">
        <v>40</v>
      </c>
      <c r="E155" s="4" t="s">
        <v>10</v>
      </c>
      <c r="F155" s="4" t="s">
        <v>51</v>
      </c>
    </row>
    <row r="156" spans="1:6" x14ac:dyDescent="0.3">
      <c r="A156" s="15">
        <v>2</v>
      </c>
      <c r="B156" s="9">
        <v>2</v>
      </c>
      <c r="C156" s="9" t="s">
        <v>100</v>
      </c>
      <c r="D156" s="9" t="s">
        <v>29</v>
      </c>
      <c r="E156" s="15" t="s">
        <v>42</v>
      </c>
      <c r="F156" s="15" t="s">
        <v>43</v>
      </c>
    </row>
    <row r="157" spans="1:6" x14ac:dyDescent="0.3">
      <c r="A157" s="4">
        <v>2</v>
      </c>
      <c r="B157" s="9">
        <v>1</v>
      </c>
      <c r="C157" s="9" t="s">
        <v>99</v>
      </c>
      <c r="D157" s="9" t="s">
        <v>29</v>
      </c>
      <c r="E157" s="4" t="s">
        <v>42</v>
      </c>
      <c r="F157" s="4" t="s">
        <v>46</v>
      </c>
    </row>
    <row r="158" spans="1:6" x14ac:dyDescent="0.3">
      <c r="A158" s="4">
        <v>2</v>
      </c>
      <c r="B158" s="7">
        <v>2</v>
      </c>
      <c r="C158" s="7" t="s">
        <v>80</v>
      </c>
      <c r="D158" s="4" t="s">
        <v>40</v>
      </c>
      <c r="E158" s="4" t="s">
        <v>9</v>
      </c>
      <c r="F158" s="4" t="s">
        <v>57</v>
      </c>
    </row>
    <row r="159" spans="1:6" x14ac:dyDescent="0.3">
      <c r="A159" s="15">
        <v>2</v>
      </c>
      <c r="B159" s="9">
        <v>1</v>
      </c>
      <c r="C159" s="9" t="s">
        <v>99</v>
      </c>
      <c r="D159" s="9" t="s">
        <v>29</v>
      </c>
      <c r="E159" s="15" t="s">
        <v>42</v>
      </c>
      <c r="F159" s="15" t="s">
        <v>44</v>
      </c>
    </row>
    <row r="160" spans="1:6" x14ac:dyDescent="0.3">
      <c r="A160" s="15">
        <v>2</v>
      </c>
      <c r="B160" s="12">
        <v>2</v>
      </c>
      <c r="C160" s="12" t="s">
        <v>80</v>
      </c>
      <c r="D160" s="15" t="s">
        <v>40</v>
      </c>
      <c r="E160" s="15" t="s">
        <v>9</v>
      </c>
      <c r="F160" s="15" t="s">
        <v>58</v>
      </c>
    </row>
    <row r="161" spans="1:6" x14ac:dyDescent="0.3">
      <c r="A161" s="15">
        <v>2</v>
      </c>
      <c r="B161" s="12">
        <v>1</v>
      </c>
      <c r="C161" s="12" t="s">
        <v>81</v>
      </c>
      <c r="D161" s="15" t="s">
        <v>40</v>
      </c>
      <c r="E161" s="15" t="s">
        <v>10</v>
      </c>
      <c r="F161" s="15" t="s">
        <v>56</v>
      </c>
    </row>
    <row r="162" spans="1:6" x14ac:dyDescent="0.3">
      <c r="A162" s="4">
        <v>2</v>
      </c>
      <c r="B162" s="9">
        <v>1</v>
      </c>
      <c r="C162" s="9" t="s">
        <v>99</v>
      </c>
      <c r="D162" s="9" t="s">
        <v>29</v>
      </c>
      <c r="E162" s="4" t="s">
        <v>42</v>
      </c>
      <c r="F162" s="4" t="s">
        <v>45</v>
      </c>
    </row>
    <row r="163" spans="1:6" x14ac:dyDescent="0.3">
      <c r="A163" s="15">
        <v>2</v>
      </c>
      <c r="B163" s="9">
        <v>2</v>
      </c>
      <c r="C163" s="9" t="s">
        <v>100</v>
      </c>
      <c r="D163" s="9" t="s">
        <v>29</v>
      </c>
      <c r="E163" s="15" t="s">
        <v>42</v>
      </c>
      <c r="F163" s="15" t="s">
        <v>47</v>
      </c>
    </row>
    <row r="164" spans="1:6" x14ac:dyDescent="0.3">
      <c r="A164" s="7">
        <v>3</v>
      </c>
      <c r="B164" s="7">
        <v>2</v>
      </c>
      <c r="C164" s="7" t="s">
        <v>80</v>
      </c>
      <c r="D164" s="4" t="s">
        <v>40</v>
      </c>
      <c r="E164" s="4" t="s">
        <v>10</v>
      </c>
      <c r="F164" s="4" t="s">
        <v>62</v>
      </c>
    </row>
    <row r="165" spans="1:6" x14ac:dyDescent="0.3">
      <c r="A165" s="12">
        <v>3</v>
      </c>
      <c r="B165" s="10">
        <v>2</v>
      </c>
      <c r="C165" s="10" t="s">
        <v>100</v>
      </c>
      <c r="D165" s="10" t="s">
        <v>29</v>
      </c>
      <c r="E165" s="15" t="s">
        <v>42</v>
      </c>
      <c r="F165" s="15" t="s">
        <v>52</v>
      </c>
    </row>
    <row r="166" spans="1:6" x14ac:dyDescent="0.3">
      <c r="A166" s="7">
        <v>3</v>
      </c>
      <c r="B166" s="10">
        <v>1</v>
      </c>
      <c r="C166" s="10" t="s">
        <v>99</v>
      </c>
      <c r="D166" s="10" t="s">
        <v>29</v>
      </c>
      <c r="E166" s="4" t="s">
        <v>42</v>
      </c>
      <c r="F166" s="4" t="s">
        <v>53</v>
      </c>
    </row>
    <row r="167" spans="1:6" x14ac:dyDescent="0.3">
      <c r="A167" s="7">
        <v>3</v>
      </c>
      <c r="B167" s="7">
        <v>1</v>
      </c>
      <c r="C167" s="7" t="s">
        <v>81</v>
      </c>
      <c r="D167" s="4" t="s">
        <v>40</v>
      </c>
      <c r="E167" s="4" t="s">
        <v>10</v>
      </c>
      <c r="F167" s="4" t="s">
        <v>65</v>
      </c>
    </row>
    <row r="168" spans="1:6" x14ac:dyDescent="0.3">
      <c r="A168" s="7">
        <v>3</v>
      </c>
      <c r="B168" s="7">
        <v>2</v>
      </c>
      <c r="C168" s="7" t="s">
        <v>80</v>
      </c>
      <c r="D168" s="4" t="s">
        <v>40</v>
      </c>
      <c r="E168" s="4" t="s">
        <v>10</v>
      </c>
      <c r="F168" s="4" t="s">
        <v>60</v>
      </c>
    </row>
    <row r="169" spans="1:6" x14ac:dyDescent="0.3">
      <c r="A169" s="12">
        <v>3</v>
      </c>
      <c r="B169" s="10">
        <v>1</v>
      </c>
      <c r="C169" s="10" t="s">
        <v>99</v>
      </c>
      <c r="D169" s="10" t="s">
        <v>29</v>
      </c>
      <c r="E169" s="15" t="s">
        <v>42</v>
      </c>
      <c r="F169" s="15" t="s">
        <v>55</v>
      </c>
    </row>
    <row r="170" spans="1:6" x14ac:dyDescent="0.3">
      <c r="A170" s="12">
        <v>3</v>
      </c>
      <c r="B170" s="12">
        <v>2</v>
      </c>
      <c r="C170" s="12" t="s">
        <v>80</v>
      </c>
      <c r="D170" s="15" t="s">
        <v>40</v>
      </c>
      <c r="E170" s="15" t="s">
        <v>9</v>
      </c>
      <c r="F170" s="15" t="s">
        <v>64</v>
      </c>
    </row>
    <row r="171" spans="1:6" x14ac:dyDescent="0.3">
      <c r="A171" s="7">
        <v>3</v>
      </c>
      <c r="B171" s="10">
        <v>1</v>
      </c>
      <c r="C171" s="10" t="s">
        <v>99</v>
      </c>
      <c r="D171" s="10" t="s">
        <v>29</v>
      </c>
      <c r="E171" s="4" t="s">
        <v>42</v>
      </c>
      <c r="F171" s="4" t="s">
        <v>54</v>
      </c>
    </row>
    <row r="172" spans="1:6" x14ac:dyDescent="0.3">
      <c r="A172" s="12">
        <v>3</v>
      </c>
      <c r="B172" s="10">
        <v>2</v>
      </c>
      <c r="C172" s="10" t="s">
        <v>100</v>
      </c>
      <c r="D172" s="10" t="s">
        <v>29</v>
      </c>
      <c r="E172" s="15" t="s">
        <v>42</v>
      </c>
      <c r="F172" s="15" t="s">
        <v>51</v>
      </c>
    </row>
    <row r="173" spans="1:6" x14ac:dyDescent="0.3">
      <c r="A173" s="7">
        <v>3</v>
      </c>
      <c r="B173" s="10">
        <v>1</v>
      </c>
      <c r="C173" s="10" t="s">
        <v>99</v>
      </c>
      <c r="D173" s="10" t="s">
        <v>29</v>
      </c>
      <c r="E173" s="4" t="s">
        <v>42</v>
      </c>
      <c r="F173" s="4" t="s">
        <v>57</v>
      </c>
    </row>
    <row r="174" spans="1:6" x14ac:dyDescent="0.3">
      <c r="A174" s="7">
        <v>3</v>
      </c>
      <c r="B174" s="7">
        <v>2</v>
      </c>
      <c r="C174" s="7" t="s">
        <v>80</v>
      </c>
      <c r="D174" s="4" t="s">
        <v>40</v>
      </c>
      <c r="E174" s="4" t="s">
        <v>9</v>
      </c>
      <c r="F174" s="4" t="s">
        <v>66</v>
      </c>
    </row>
    <row r="175" spans="1:6" x14ac:dyDescent="0.3">
      <c r="A175" s="7">
        <v>3</v>
      </c>
      <c r="B175" s="7">
        <v>1</v>
      </c>
      <c r="C175" s="7" t="s">
        <v>81</v>
      </c>
      <c r="D175" s="4" t="s">
        <v>40</v>
      </c>
      <c r="E175" s="4" t="s">
        <v>10</v>
      </c>
      <c r="F175" s="4" t="s">
        <v>63</v>
      </c>
    </row>
    <row r="176" spans="1:6" x14ac:dyDescent="0.3">
      <c r="A176" s="12">
        <v>3</v>
      </c>
      <c r="B176" s="12">
        <v>1</v>
      </c>
      <c r="C176" s="12" t="s">
        <v>81</v>
      </c>
      <c r="D176" s="15" t="s">
        <v>40</v>
      </c>
      <c r="E176" s="15" t="s">
        <v>9</v>
      </c>
      <c r="F176" s="15" t="s">
        <v>61</v>
      </c>
    </row>
    <row r="177" spans="1:6" x14ac:dyDescent="0.3">
      <c r="A177" s="7">
        <v>3</v>
      </c>
      <c r="B177" s="10">
        <v>2</v>
      </c>
      <c r="C177" s="10" t="s">
        <v>100</v>
      </c>
      <c r="D177" s="10" t="s">
        <v>29</v>
      </c>
      <c r="E177" s="4" t="s">
        <v>42</v>
      </c>
      <c r="F177" s="4" t="s">
        <v>56</v>
      </c>
    </row>
    <row r="178" spans="1:6" x14ac:dyDescent="0.3">
      <c r="A178" s="7">
        <v>3</v>
      </c>
      <c r="B178" s="7">
        <v>1</v>
      </c>
      <c r="C178" s="7" t="s">
        <v>81</v>
      </c>
      <c r="D178" s="4" t="s">
        <v>40</v>
      </c>
      <c r="E178" s="4" t="s">
        <v>9</v>
      </c>
      <c r="F178" s="4" t="s">
        <v>59</v>
      </c>
    </row>
    <row r="179" spans="1:6" x14ac:dyDescent="0.3">
      <c r="A179" s="12">
        <v>3</v>
      </c>
      <c r="B179" s="10">
        <v>2</v>
      </c>
      <c r="C179" s="10" t="s">
        <v>100</v>
      </c>
      <c r="D179" s="10" t="s">
        <v>29</v>
      </c>
      <c r="E179" s="15" t="s">
        <v>42</v>
      </c>
      <c r="F179" s="15" t="s">
        <v>58</v>
      </c>
    </row>
    <row r="180" spans="1:6" x14ac:dyDescent="0.3">
      <c r="A180" s="15">
        <v>4</v>
      </c>
      <c r="B180" s="12">
        <v>1</v>
      </c>
      <c r="C180" s="12" t="s">
        <v>81</v>
      </c>
      <c r="D180" s="15" t="s">
        <v>40</v>
      </c>
      <c r="E180" s="15" t="s">
        <v>9</v>
      </c>
      <c r="F180" s="15" t="s">
        <v>71</v>
      </c>
    </row>
    <row r="181" spans="1:6" x14ac:dyDescent="0.3">
      <c r="A181" s="4">
        <v>4</v>
      </c>
      <c r="B181" s="11">
        <v>2</v>
      </c>
      <c r="C181" s="11" t="s">
        <v>100</v>
      </c>
      <c r="D181" s="11" t="s">
        <v>29</v>
      </c>
      <c r="E181" s="4" t="s">
        <v>42</v>
      </c>
      <c r="F181" s="4" t="s">
        <v>62</v>
      </c>
    </row>
    <row r="182" spans="1:6" x14ac:dyDescent="0.3">
      <c r="A182" s="4">
        <v>4</v>
      </c>
      <c r="B182" s="7">
        <v>2</v>
      </c>
      <c r="C182" s="7" t="s">
        <v>80</v>
      </c>
      <c r="D182" s="4" t="s">
        <v>40</v>
      </c>
      <c r="E182" s="4" t="s">
        <v>10</v>
      </c>
      <c r="F182" s="4" t="s">
        <v>69</v>
      </c>
    </row>
    <row r="183" spans="1:6" x14ac:dyDescent="0.3">
      <c r="A183" s="4">
        <v>4</v>
      </c>
      <c r="B183" s="7">
        <v>2</v>
      </c>
      <c r="C183" s="7" t="s">
        <v>80</v>
      </c>
      <c r="D183" s="4" t="s">
        <v>40</v>
      </c>
      <c r="E183" s="4" t="s">
        <v>9</v>
      </c>
      <c r="F183" s="4" t="s">
        <v>73</v>
      </c>
    </row>
    <row r="184" spans="1:6" x14ac:dyDescent="0.3">
      <c r="A184" s="15">
        <v>4</v>
      </c>
      <c r="B184" s="11">
        <v>1</v>
      </c>
      <c r="C184" s="11" t="s">
        <v>99</v>
      </c>
      <c r="D184" s="11" t="s">
        <v>29</v>
      </c>
      <c r="E184" s="15" t="s">
        <v>42</v>
      </c>
      <c r="F184" s="15" t="s">
        <v>65</v>
      </c>
    </row>
    <row r="185" spans="1:6" x14ac:dyDescent="0.3">
      <c r="A185" s="4">
        <v>4</v>
      </c>
      <c r="B185" s="11">
        <v>2</v>
      </c>
      <c r="C185" s="11" t="s">
        <v>100</v>
      </c>
      <c r="D185" s="11" t="s">
        <v>29</v>
      </c>
      <c r="E185" s="4" t="s">
        <v>42</v>
      </c>
      <c r="F185" s="4" t="s">
        <v>60</v>
      </c>
    </row>
    <row r="186" spans="1:6" x14ac:dyDescent="0.3">
      <c r="A186" s="4">
        <v>4</v>
      </c>
      <c r="B186" s="7">
        <v>1</v>
      </c>
      <c r="C186" s="7" t="s">
        <v>81</v>
      </c>
      <c r="D186" s="4" t="s">
        <v>40</v>
      </c>
      <c r="E186" s="4" t="s">
        <v>10</v>
      </c>
      <c r="F186" s="4" t="s">
        <v>70</v>
      </c>
    </row>
    <row r="187" spans="1:6" x14ac:dyDescent="0.3">
      <c r="A187" s="4">
        <v>4</v>
      </c>
      <c r="B187" s="7">
        <v>2</v>
      </c>
      <c r="C187" s="7" t="s">
        <v>80</v>
      </c>
      <c r="D187" s="4" t="s">
        <v>40</v>
      </c>
      <c r="E187" s="4" t="s">
        <v>10</v>
      </c>
      <c r="F187" s="4" t="s">
        <v>74</v>
      </c>
    </row>
    <row r="188" spans="1:6" x14ac:dyDescent="0.3">
      <c r="A188" s="15">
        <v>4</v>
      </c>
      <c r="B188" s="11">
        <v>1</v>
      </c>
      <c r="C188" s="11" t="s">
        <v>99</v>
      </c>
      <c r="D188" s="11" t="s">
        <v>29</v>
      </c>
      <c r="E188" s="15" t="s">
        <v>42</v>
      </c>
      <c r="F188" s="15" t="s">
        <v>64</v>
      </c>
    </row>
    <row r="189" spans="1:6" x14ac:dyDescent="0.3">
      <c r="A189" s="15">
        <v>4</v>
      </c>
      <c r="B189" s="12">
        <v>2</v>
      </c>
      <c r="C189" s="12" t="s">
        <v>80</v>
      </c>
      <c r="D189" s="15" t="s">
        <v>40</v>
      </c>
      <c r="E189" s="15" t="s">
        <v>9</v>
      </c>
      <c r="F189" s="15" t="s">
        <v>67</v>
      </c>
    </row>
    <row r="190" spans="1:6" x14ac:dyDescent="0.3">
      <c r="A190" s="4">
        <v>4</v>
      </c>
      <c r="B190" s="11">
        <v>1</v>
      </c>
      <c r="C190" s="11" t="s">
        <v>99</v>
      </c>
      <c r="D190" s="11" t="s">
        <v>29</v>
      </c>
      <c r="E190" s="4" t="s">
        <v>42</v>
      </c>
      <c r="F190" s="4" t="s">
        <v>66</v>
      </c>
    </row>
    <row r="191" spans="1:6" x14ac:dyDescent="0.3">
      <c r="A191" s="4">
        <v>4</v>
      </c>
      <c r="B191" s="7">
        <v>1</v>
      </c>
      <c r="C191" s="7" t="s">
        <v>81</v>
      </c>
      <c r="D191" s="4" t="s">
        <v>40</v>
      </c>
      <c r="E191" s="4" t="s">
        <v>10</v>
      </c>
      <c r="F191" s="4" t="s">
        <v>72</v>
      </c>
    </row>
    <row r="192" spans="1:6" x14ac:dyDescent="0.3">
      <c r="A192" s="4">
        <v>4</v>
      </c>
      <c r="B192" s="7">
        <v>1</v>
      </c>
      <c r="C192" s="7" t="s">
        <v>81</v>
      </c>
      <c r="D192" s="4" t="s">
        <v>40</v>
      </c>
      <c r="E192" s="4" t="s">
        <v>9</v>
      </c>
      <c r="F192" s="4" t="s">
        <v>68</v>
      </c>
    </row>
    <row r="193" spans="1:6" x14ac:dyDescent="0.3">
      <c r="A193" s="15">
        <v>4</v>
      </c>
      <c r="B193" s="11">
        <v>2</v>
      </c>
      <c r="C193" s="11" t="s">
        <v>100</v>
      </c>
      <c r="D193" s="11" t="s">
        <v>29</v>
      </c>
      <c r="E193" s="15" t="s">
        <v>42</v>
      </c>
      <c r="F193" s="15" t="s">
        <v>63</v>
      </c>
    </row>
    <row r="194" spans="1:6" x14ac:dyDescent="0.3">
      <c r="A194" s="4">
        <v>4</v>
      </c>
      <c r="B194" s="11">
        <v>1</v>
      </c>
      <c r="C194" s="11" t="s">
        <v>99</v>
      </c>
      <c r="D194" s="11" t="s">
        <v>29</v>
      </c>
      <c r="E194" s="4" t="s">
        <v>42</v>
      </c>
      <c r="F194" s="4" t="s">
        <v>61</v>
      </c>
    </row>
    <row r="195" spans="1:6" x14ac:dyDescent="0.3">
      <c r="A195" s="15">
        <v>4</v>
      </c>
      <c r="B195" s="11">
        <v>2</v>
      </c>
      <c r="C195" s="11" t="s">
        <v>100</v>
      </c>
      <c r="D195" s="11" t="s">
        <v>29</v>
      </c>
      <c r="E195" s="15" t="s">
        <v>42</v>
      </c>
      <c r="F195" s="15" t="s">
        <v>59</v>
      </c>
    </row>
    <row r="196" spans="1:6" x14ac:dyDescent="0.3">
      <c r="A196" t="s">
        <v>25</v>
      </c>
    </row>
    <row r="197" spans="1:6" x14ac:dyDescent="0.3">
      <c r="A197" s="12">
        <v>1</v>
      </c>
      <c r="B197" s="14">
        <v>2</v>
      </c>
      <c r="C197" s="13" t="s">
        <v>100</v>
      </c>
      <c r="D197" s="8" t="s">
        <v>29</v>
      </c>
      <c r="E197" s="15" t="s">
        <v>42</v>
      </c>
      <c r="F197" s="15" t="s">
        <v>69</v>
      </c>
    </row>
    <row r="198" spans="1:6" x14ac:dyDescent="0.3">
      <c r="A198" s="12">
        <v>1</v>
      </c>
      <c r="B198" s="15">
        <v>2</v>
      </c>
      <c r="C198" s="15" t="s">
        <v>80</v>
      </c>
      <c r="D198" s="15" t="s">
        <v>40</v>
      </c>
      <c r="E198" s="15" t="s">
        <v>9</v>
      </c>
      <c r="F198" s="15" t="s">
        <v>47</v>
      </c>
    </row>
    <row r="199" spans="1:6" x14ac:dyDescent="0.3">
      <c r="A199" s="7">
        <v>1</v>
      </c>
      <c r="B199" s="14">
        <v>1</v>
      </c>
      <c r="C199" s="14" t="s">
        <v>99</v>
      </c>
      <c r="D199" s="8" t="s">
        <v>29</v>
      </c>
      <c r="E199" s="4" t="s">
        <v>42</v>
      </c>
      <c r="F199" s="4" t="s">
        <v>72</v>
      </c>
    </row>
    <row r="200" spans="1:6" x14ac:dyDescent="0.3">
      <c r="A200" s="12">
        <v>1</v>
      </c>
      <c r="B200" s="14">
        <v>2</v>
      </c>
      <c r="C200" s="13" t="s">
        <v>100</v>
      </c>
      <c r="D200" s="8" t="s">
        <v>29</v>
      </c>
      <c r="E200" s="15" t="s">
        <v>42</v>
      </c>
      <c r="F200" s="15" t="s">
        <v>70</v>
      </c>
    </row>
    <row r="201" spans="1:6" x14ac:dyDescent="0.3">
      <c r="A201" s="7">
        <v>1</v>
      </c>
      <c r="B201" s="14">
        <v>1</v>
      </c>
      <c r="C201" s="14" t="s">
        <v>99</v>
      </c>
      <c r="D201" s="8" t="s">
        <v>29</v>
      </c>
      <c r="E201" s="4" t="s">
        <v>42</v>
      </c>
      <c r="F201" s="4" t="s">
        <v>74</v>
      </c>
    </row>
    <row r="202" spans="1:6" x14ac:dyDescent="0.3">
      <c r="A202" s="7">
        <v>1</v>
      </c>
      <c r="B202" s="4">
        <v>2</v>
      </c>
      <c r="C202" s="15" t="s">
        <v>80</v>
      </c>
      <c r="D202" s="4" t="s">
        <v>40</v>
      </c>
      <c r="E202" s="4" t="s">
        <v>9</v>
      </c>
      <c r="F202" s="4" t="s">
        <v>50</v>
      </c>
    </row>
    <row r="203" spans="1:6" x14ac:dyDescent="0.3">
      <c r="A203" s="7">
        <v>1</v>
      </c>
      <c r="B203" s="4">
        <v>1</v>
      </c>
      <c r="C203" s="4" t="s">
        <v>81</v>
      </c>
      <c r="D203" s="4" t="s">
        <v>40</v>
      </c>
      <c r="E203" s="4" t="s">
        <v>10</v>
      </c>
      <c r="F203" s="4" t="s">
        <v>49</v>
      </c>
    </row>
    <row r="204" spans="1:6" x14ac:dyDescent="0.3">
      <c r="A204" s="12">
        <v>1</v>
      </c>
      <c r="B204" s="14">
        <v>1</v>
      </c>
      <c r="C204" s="14" t="s">
        <v>99</v>
      </c>
      <c r="D204" s="8" t="s">
        <v>29</v>
      </c>
      <c r="E204" s="15" t="s">
        <v>42</v>
      </c>
      <c r="F204" s="15" t="s">
        <v>71</v>
      </c>
    </row>
    <row r="205" spans="1:6" x14ac:dyDescent="0.3">
      <c r="A205" s="12">
        <v>1</v>
      </c>
      <c r="B205" s="15">
        <v>2</v>
      </c>
      <c r="C205" s="15" t="s">
        <v>80</v>
      </c>
      <c r="D205" s="15" t="s">
        <v>40</v>
      </c>
      <c r="E205" s="15" t="s">
        <v>10</v>
      </c>
      <c r="F205" s="15" t="s">
        <v>45</v>
      </c>
    </row>
    <row r="206" spans="1:6" x14ac:dyDescent="0.3">
      <c r="A206" s="12">
        <v>1</v>
      </c>
      <c r="B206" s="15">
        <v>1</v>
      </c>
      <c r="C206" s="15" t="s">
        <v>81</v>
      </c>
      <c r="D206" s="15" t="s">
        <v>40</v>
      </c>
      <c r="E206" s="15" t="s">
        <v>10</v>
      </c>
      <c r="F206" s="15" t="s">
        <v>44</v>
      </c>
    </row>
    <row r="207" spans="1:6" x14ac:dyDescent="0.3">
      <c r="A207" s="7">
        <v>1</v>
      </c>
      <c r="B207" s="14">
        <v>2</v>
      </c>
      <c r="C207" s="14" t="s">
        <v>100</v>
      </c>
      <c r="D207" s="8" t="s">
        <v>29</v>
      </c>
      <c r="E207" s="4" t="s">
        <v>42</v>
      </c>
      <c r="F207" s="4" t="s">
        <v>68</v>
      </c>
    </row>
    <row r="208" spans="1:6" x14ac:dyDescent="0.3">
      <c r="A208" s="7">
        <v>1</v>
      </c>
      <c r="B208" s="4">
        <v>1</v>
      </c>
      <c r="C208" s="15" t="s">
        <v>81</v>
      </c>
      <c r="D208" s="4" t="s">
        <v>40</v>
      </c>
      <c r="E208" s="4" t="s">
        <v>9</v>
      </c>
      <c r="F208" s="4" t="s">
        <v>46</v>
      </c>
    </row>
    <row r="209" spans="1:6" x14ac:dyDescent="0.3">
      <c r="A209" s="12">
        <v>1</v>
      </c>
      <c r="B209" s="14">
        <v>1</v>
      </c>
      <c r="C209" s="13" t="s">
        <v>99</v>
      </c>
      <c r="D209" s="8" t="s">
        <v>29</v>
      </c>
      <c r="E209" s="15" t="s">
        <v>42</v>
      </c>
      <c r="F209" s="15" t="s">
        <v>67</v>
      </c>
    </row>
    <row r="210" spans="1:6" x14ac:dyDescent="0.3">
      <c r="A210" s="7">
        <v>1</v>
      </c>
      <c r="B210" s="14">
        <v>2</v>
      </c>
      <c r="C210" s="14" t="s">
        <v>100</v>
      </c>
      <c r="D210" s="8" t="s">
        <v>29</v>
      </c>
      <c r="E210" s="4" t="s">
        <v>42</v>
      </c>
      <c r="F210" s="4" t="s">
        <v>73</v>
      </c>
    </row>
    <row r="211" spans="1:6" x14ac:dyDescent="0.3">
      <c r="A211" s="7">
        <v>1</v>
      </c>
      <c r="B211" s="4">
        <v>1</v>
      </c>
      <c r="C211" s="15" t="s">
        <v>81</v>
      </c>
      <c r="D211" s="4" t="s">
        <v>40</v>
      </c>
      <c r="E211" s="4" t="s">
        <v>9</v>
      </c>
      <c r="F211" s="4" t="s">
        <v>43</v>
      </c>
    </row>
    <row r="212" spans="1:6" x14ac:dyDescent="0.3">
      <c r="A212" s="7">
        <v>1</v>
      </c>
      <c r="B212" s="4">
        <v>2</v>
      </c>
      <c r="C212" s="4" t="s">
        <v>80</v>
      </c>
      <c r="D212" s="4" t="s">
        <v>40</v>
      </c>
      <c r="E212" s="4" t="s">
        <v>10</v>
      </c>
      <c r="F212" s="4" t="s">
        <v>48</v>
      </c>
    </row>
    <row r="213" spans="1:6" x14ac:dyDescent="0.3">
      <c r="A213" s="15">
        <v>2</v>
      </c>
      <c r="B213" s="15">
        <v>1</v>
      </c>
      <c r="C213" s="15" t="s">
        <v>81</v>
      </c>
      <c r="D213" s="15" t="s">
        <v>40</v>
      </c>
      <c r="E213" s="15" t="s">
        <v>9</v>
      </c>
      <c r="F213" s="15" t="s">
        <v>51</v>
      </c>
    </row>
    <row r="214" spans="1:6" x14ac:dyDescent="0.3">
      <c r="A214" s="4">
        <v>2</v>
      </c>
      <c r="B214" s="9">
        <v>2</v>
      </c>
      <c r="C214" s="9" t="s">
        <v>100</v>
      </c>
      <c r="D214" s="9" t="s">
        <v>29</v>
      </c>
      <c r="E214" s="4" t="s">
        <v>42</v>
      </c>
      <c r="F214" s="4" t="s">
        <v>47</v>
      </c>
    </row>
    <row r="215" spans="1:6" x14ac:dyDescent="0.3">
      <c r="A215" s="4">
        <v>2</v>
      </c>
      <c r="B215" s="4">
        <v>1</v>
      </c>
      <c r="C215" s="4" t="s">
        <v>81</v>
      </c>
      <c r="D215" s="4" t="s">
        <v>40</v>
      </c>
      <c r="E215" s="4" t="s">
        <v>9</v>
      </c>
      <c r="F215" s="4" t="s">
        <v>55</v>
      </c>
    </row>
    <row r="216" spans="1:6" x14ac:dyDescent="0.3">
      <c r="A216" s="15">
        <v>2</v>
      </c>
      <c r="B216" s="9">
        <v>2</v>
      </c>
      <c r="C216" s="9" t="s">
        <v>100</v>
      </c>
      <c r="D216" s="9" t="s">
        <v>29</v>
      </c>
      <c r="E216" s="15" t="s">
        <v>42</v>
      </c>
      <c r="F216" s="15" t="s">
        <v>50</v>
      </c>
    </row>
    <row r="217" spans="1:6" x14ac:dyDescent="0.3">
      <c r="A217" s="4">
        <v>2</v>
      </c>
      <c r="B217" s="4">
        <v>1</v>
      </c>
      <c r="C217" s="4" t="s">
        <v>81</v>
      </c>
      <c r="D217" s="4" t="s">
        <v>40</v>
      </c>
      <c r="E217" s="4" t="s">
        <v>10</v>
      </c>
      <c r="F217" s="4" t="s">
        <v>53</v>
      </c>
    </row>
    <row r="218" spans="1:6" x14ac:dyDescent="0.3">
      <c r="A218" s="15">
        <v>2</v>
      </c>
      <c r="B218" s="15">
        <v>1</v>
      </c>
      <c r="C218" s="15" t="s">
        <v>81</v>
      </c>
      <c r="D218" s="15" t="s">
        <v>40</v>
      </c>
      <c r="E218" s="15" t="s">
        <v>10</v>
      </c>
      <c r="F218" s="15" t="s">
        <v>57</v>
      </c>
    </row>
    <row r="219" spans="1:6" x14ac:dyDescent="0.3">
      <c r="A219" s="4">
        <v>2</v>
      </c>
      <c r="B219" s="9">
        <v>1</v>
      </c>
      <c r="C219" s="9" t="s">
        <v>99</v>
      </c>
      <c r="D219" s="9" t="s">
        <v>29</v>
      </c>
      <c r="E219" s="4" t="s">
        <v>42</v>
      </c>
      <c r="F219" s="4" t="s">
        <v>49</v>
      </c>
    </row>
    <row r="220" spans="1:6" x14ac:dyDescent="0.3">
      <c r="A220" s="15">
        <v>2</v>
      </c>
      <c r="B220" s="9">
        <v>2</v>
      </c>
      <c r="C220" s="9" t="s">
        <v>100</v>
      </c>
      <c r="D220" s="9" t="s">
        <v>29</v>
      </c>
      <c r="E220" s="15" t="s">
        <v>42</v>
      </c>
      <c r="F220" s="15" t="s">
        <v>45</v>
      </c>
    </row>
    <row r="221" spans="1:6" x14ac:dyDescent="0.3">
      <c r="A221" s="4">
        <v>2</v>
      </c>
      <c r="B221" s="9">
        <v>1</v>
      </c>
      <c r="C221" s="9" t="s">
        <v>99</v>
      </c>
      <c r="D221" s="9" t="s">
        <v>29</v>
      </c>
      <c r="E221" s="4" t="s">
        <v>42</v>
      </c>
      <c r="F221" s="4" t="s">
        <v>44</v>
      </c>
    </row>
    <row r="222" spans="1:6" x14ac:dyDescent="0.3">
      <c r="A222" s="4">
        <v>2</v>
      </c>
      <c r="B222" s="4">
        <v>2</v>
      </c>
      <c r="C222" s="4" t="s">
        <v>80</v>
      </c>
      <c r="D222" s="4" t="s">
        <v>40</v>
      </c>
      <c r="E222" s="4" t="s">
        <v>10</v>
      </c>
      <c r="F222" s="4" t="s">
        <v>52</v>
      </c>
    </row>
    <row r="223" spans="1:6" x14ac:dyDescent="0.3">
      <c r="A223" s="4">
        <v>2</v>
      </c>
      <c r="B223" s="4">
        <v>2</v>
      </c>
      <c r="C223" s="4" t="s">
        <v>80</v>
      </c>
      <c r="D223" s="4" t="s">
        <v>40</v>
      </c>
      <c r="E223" s="4" t="s">
        <v>9</v>
      </c>
      <c r="F223" s="4" t="s">
        <v>56</v>
      </c>
    </row>
    <row r="224" spans="1:6" x14ac:dyDescent="0.3">
      <c r="A224" s="15">
        <v>2</v>
      </c>
      <c r="B224" s="9">
        <v>1</v>
      </c>
      <c r="C224" s="9" t="s">
        <v>99</v>
      </c>
      <c r="D224" s="9" t="s">
        <v>29</v>
      </c>
      <c r="E224" s="15" t="s">
        <v>42</v>
      </c>
      <c r="F224" s="15" t="s">
        <v>46</v>
      </c>
    </row>
    <row r="225" spans="1:6" x14ac:dyDescent="0.3">
      <c r="A225" s="15">
        <v>2</v>
      </c>
      <c r="B225" s="15">
        <v>2</v>
      </c>
      <c r="C225" s="15" t="s">
        <v>80</v>
      </c>
      <c r="D225" s="15" t="s">
        <v>40</v>
      </c>
      <c r="E225" s="15" t="s">
        <v>9</v>
      </c>
      <c r="F225" s="15" t="s">
        <v>54</v>
      </c>
    </row>
    <row r="226" spans="1:6" x14ac:dyDescent="0.3">
      <c r="A226" s="4">
        <v>2</v>
      </c>
      <c r="B226" s="9">
        <v>1</v>
      </c>
      <c r="C226" s="9" t="s">
        <v>99</v>
      </c>
      <c r="D226" s="9" t="s">
        <v>29</v>
      </c>
      <c r="E226" s="4" t="s">
        <v>42</v>
      </c>
      <c r="F226" s="4" t="s">
        <v>43</v>
      </c>
    </row>
    <row r="227" spans="1:6" x14ac:dyDescent="0.3">
      <c r="A227" s="15">
        <v>2</v>
      </c>
      <c r="B227" s="9">
        <v>2</v>
      </c>
      <c r="C227" s="9" t="s">
        <v>100</v>
      </c>
      <c r="D227" s="9" t="s">
        <v>29</v>
      </c>
      <c r="E227" s="15" t="s">
        <v>42</v>
      </c>
      <c r="F227" s="15" t="s">
        <v>48</v>
      </c>
    </row>
    <row r="228" spans="1:6" x14ac:dyDescent="0.3">
      <c r="A228" s="15">
        <v>2</v>
      </c>
      <c r="B228" s="15">
        <v>1</v>
      </c>
      <c r="C228" s="15" t="s">
        <v>81</v>
      </c>
      <c r="D228" s="15" t="s">
        <v>40</v>
      </c>
      <c r="E228" s="15" t="s">
        <v>10</v>
      </c>
      <c r="F228" s="15" t="s">
        <v>58</v>
      </c>
    </row>
    <row r="229" spans="1:6" x14ac:dyDescent="0.3">
      <c r="A229" s="7">
        <v>3</v>
      </c>
      <c r="B229" s="4">
        <v>2</v>
      </c>
      <c r="C229" s="4" t="s">
        <v>80</v>
      </c>
      <c r="D229" s="4" t="s">
        <v>40</v>
      </c>
      <c r="E229" s="4" t="s">
        <v>10</v>
      </c>
      <c r="F229" s="4" t="s">
        <v>63</v>
      </c>
    </row>
    <row r="230" spans="1:6" x14ac:dyDescent="0.3">
      <c r="A230" s="7">
        <v>3</v>
      </c>
      <c r="B230" s="4">
        <v>1</v>
      </c>
      <c r="C230" s="4" t="s">
        <v>81</v>
      </c>
      <c r="D230" s="4" t="s">
        <v>40</v>
      </c>
      <c r="E230" s="4" t="s">
        <v>10</v>
      </c>
      <c r="F230" s="4" t="s">
        <v>59</v>
      </c>
    </row>
    <row r="231" spans="1:6" x14ac:dyDescent="0.3">
      <c r="A231" s="12">
        <v>3</v>
      </c>
      <c r="B231" s="10">
        <v>2</v>
      </c>
      <c r="C231" s="10" t="s">
        <v>100</v>
      </c>
      <c r="D231" s="10" t="s">
        <v>29</v>
      </c>
      <c r="E231" s="15" t="s">
        <v>42</v>
      </c>
      <c r="F231" s="15" t="s">
        <v>51</v>
      </c>
    </row>
    <row r="232" spans="1:6" x14ac:dyDescent="0.3">
      <c r="A232" s="7">
        <v>3</v>
      </c>
      <c r="B232" s="10">
        <v>1</v>
      </c>
      <c r="C232" s="10" t="s">
        <v>99</v>
      </c>
      <c r="D232" s="10" t="s">
        <v>29</v>
      </c>
      <c r="E232" s="4" t="s">
        <v>42</v>
      </c>
      <c r="F232" s="4" t="s">
        <v>55</v>
      </c>
    </row>
    <row r="233" spans="1:6" x14ac:dyDescent="0.3">
      <c r="A233" s="7">
        <v>3</v>
      </c>
      <c r="B233" s="4">
        <v>2</v>
      </c>
      <c r="C233" s="4" t="s">
        <v>80</v>
      </c>
      <c r="D233" s="4" t="s">
        <v>40</v>
      </c>
      <c r="E233" s="4" t="s">
        <v>10</v>
      </c>
      <c r="F233" s="4" t="s">
        <v>65</v>
      </c>
    </row>
    <row r="234" spans="1:6" x14ac:dyDescent="0.3">
      <c r="A234" s="12">
        <v>3</v>
      </c>
      <c r="B234" s="10">
        <v>1</v>
      </c>
      <c r="C234" s="10" t="s">
        <v>99</v>
      </c>
      <c r="D234" s="10" t="s">
        <v>29</v>
      </c>
      <c r="E234" s="15" t="s">
        <v>42</v>
      </c>
      <c r="F234" s="15" t="s">
        <v>53</v>
      </c>
    </row>
    <row r="235" spans="1:6" x14ac:dyDescent="0.3">
      <c r="A235" s="12">
        <v>3</v>
      </c>
      <c r="B235" s="15">
        <v>2</v>
      </c>
      <c r="C235" s="15" t="s">
        <v>80</v>
      </c>
      <c r="D235" s="15" t="s">
        <v>40</v>
      </c>
      <c r="E235" s="15" t="s">
        <v>9</v>
      </c>
      <c r="F235" s="15" t="s">
        <v>61</v>
      </c>
    </row>
    <row r="236" spans="1:6" x14ac:dyDescent="0.3">
      <c r="A236" s="7">
        <v>3</v>
      </c>
      <c r="B236" s="10">
        <v>1</v>
      </c>
      <c r="C236" s="10" t="s">
        <v>99</v>
      </c>
      <c r="D236" s="10" t="s">
        <v>29</v>
      </c>
      <c r="E236" s="4" t="s">
        <v>42</v>
      </c>
      <c r="F236" s="4" t="s">
        <v>57</v>
      </c>
    </row>
    <row r="237" spans="1:6" x14ac:dyDescent="0.3">
      <c r="A237" s="12">
        <v>3</v>
      </c>
      <c r="B237" s="10">
        <v>1</v>
      </c>
      <c r="C237" s="10" t="s">
        <v>99</v>
      </c>
      <c r="D237" s="10" t="s">
        <v>29</v>
      </c>
      <c r="E237" s="15" t="s">
        <v>42</v>
      </c>
      <c r="F237" s="15" t="s">
        <v>52</v>
      </c>
    </row>
    <row r="238" spans="1:6" x14ac:dyDescent="0.3">
      <c r="A238" s="12">
        <v>3</v>
      </c>
      <c r="B238" s="15">
        <v>2</v>
      </c>
      <c r="C238" s="15" t="s">
        <v>80</v>
      </c>
      <c r="D238" s="15" t="s">
        <v>40</v>
      </c>
      <c r="E238" s="15" t="s">
        <v>9</v>
      </c>
      <c r="F238" s="15" t="s">
        <v>60</v>
      </c>
    </row>
    <row r="239" spans="1:6" x14ac:dyDescent="0.3">
      <c r="A239" s="12">
        <v>3</v>
      </c>
      <c r="B239" s="15">
        <v>1</v>
      </c>
      <c r="C239" s="15" t="s">
        <v>81</v>
      </c>
      <c r="D239" s="15" t="s">
        <v>40</v>
      </c>
      <c r="E239" s="15" t="s">
        <v>10</v>
      </c>
      <c r="F239" s="15" t="s">
        <v>66</v>
      </c>
    </row>
    <row r="240" spans="1:6" x14ac:dyDescent="0.3">
      <c r="A240" s="7">
        <v>3</v>
      </c>
      <c r="B240" s="10">
        <v>2</v>
      </c>
      <c r="C240" s="10" t="s">
        <v>100</v>
      </c>
      <c r="D240" s="10" t="s">
        <v>29</v>
      </c>
      <c r="E240" s="4" t="s">
        <v>42</v>
      </c>
      <c r="F240" s="4" t="s">
        <v>56</v>
      </c>
    </row>
    <row r="241" spans="1:6" x14ac:dyDescent="0.3">
      <c r="A241" s="12">
        <v>3</v>
      </c>
      <c r="B241" s="10">
        <v>2</v>
      </c>
      <c r="C241" s="10" t="s">
        <v>100</v>
      </c>
      <c r="D241" s="10" t="s">
        <v>29</v>
      </c>
      <c r="E241" s="15" t="s">
        <v>42</v>
      </c>
      <c r="F241" s="15" t="s">
        <v>54</v>
      </c>
    </row>
    <row r="242" spans="1:6" x14ac:dyDescent="0.3">
      <c r="A242" s="12">
        <v>3</v>
      </c>
      <c r="B242" s="15">
        <v>1</v>
      </c>
      <c r="C242" s="15" t="s">
        <v>81</v>
      </c>
      <c r="D242" s="15" t="s">
        <v>40</v>
      </c>
      <c r="E242" s="15" t="s">
        <v>9</v>
      </c>
      <c r="F242" s="15" t="s">
        <v>64</v>
      </c>
    </row>
    <row r="243" spans="1:6" x14ac:dyDescent="0.3">
      <c r="A243" s="7">
        <v>3</v>
      </c>
      <c r="B243" s="10">
        <v>2</v>
      </c>
      <c r="C243" s="10" t="s">
        <v>100</v>
      </c>
      <c r="D243" s="10" t="s">
        <v>29</v>
      </c>
      <c r="E243" s="4" t="s">
        <v>42</v>
      </c>
      <c r="F243" s="4" t="s">
        <v>58</v>
      </c>
    </row>
    <row r="244" spans="1:6" x14ac:dyDescent="0.3">
      <c r="A244" s="7">
        <v>3</v>
      </c>
      <c r="B244" s="4">
        <v>1</v>
      </c>
      <c r="C244" s="4" t="s">
        <v>81</v>
      </c>
      <c r="D244" s="4" t="s">
        <v>40</v>
      </c>
      <c r="E244" s="4" t="s">
        <v>9</v>
      </c>
      <c r="F244" s="4" t="s">
        <v>62</v>
      </c>
    </row>
    <row r="245" spans="1:6" x14ac:dyDescent="0.3">
      <c r="A245" s="4">
        <v>4</v>
      </c>
      <c r="B245" s="11">
        <v>2</v>
      </c>
      <c r="C245" s="11" t="s">
        <v>100</v>
      </c>
      <c r="D245" s="11" t="s">
        <v>29</v>
      </c>
      <c r="E245" s="4" t="s">
        <v>42</v>
      </c>
      <c r="F245" s="4" t="s">
        <v>63</v>
      </c>
    </row>
    <row r="246" spans="1:6" x14ac:dyDescent="0.3">
      <c r="A246" s="15">
        <v>4</v>
      </c>
      <c r="B246" s="11">
        <v>2</v>
      </c>
      <c r="C246" s="11" t="s">
        <v>100</v>
      </c>
      <c r="D246" s="11" t="s">
        <v>29</v>
      </c>
      <c r="E246" s="15" t="s">
        <v>42</v>
      </c>
      <c r="F246" s="15" t="s">
        <v>59</v>
      </c>
    </row>
    <row r="247" spans="1:6" x14ac:dyDescent="0.3">
      <c r="A247" s="15">
        <v>4</v>
      </c>
      <c r="B247" s="15">
        <v>1</v>
      </c>
      <c r="C247" s="15" t="s">
        <v>81</v>
      </c>
      <c r="D247" s="15" t="s">
        <v>40</v>
      </c>
      <c r="E247" s="15" t="s">
        <v>9</v>
      </c>
      <c r="F247" s="15" t="s">
        <v>69</v>
      </c>
    </row>
    <row r="248" spans="1:6" x14ac:dyDescent="0.3">
      <c r="A248" s="15">
        <v>4</v>
      </c>
      <c r="B248" s="15">
        <v>2</v>
      </c>
      <c r="C248" s="15" t="s">
        <v>80</v>
      </c>
      <c r="D248" s="15" t="s">
        <v>40</v>
      </c>
      <c r="E248" s="15" t="s">
        <v>10</v>
      </c>
      <c r="F248" s="15" t="s">
        <v>72</v>
      </c>
    </row>
    <row r="249" spans="1:6" x14ac:dyDescent="0.3">
      <c r="A249" s="4">
        <v>4</v>
      </c>
      <c r="B249" s="11">
        <v>1</v>
      </c>
      <c r="C249" s="11" t="s">
        <v>99</v>
      </c>
      <c r="D249" s="11" t="s">
        <v>29</v>
      </c>
      <c r="E249" s="4" t="s">
        <v>42</v>
      </c>
      <c r="F249" s="4" t="s">
        <v>65</v>
      </c>
    </row>
    <row r="250" spans="1:6" x14ac:dyDescent="0.3">
      <c r="A250" s="4">
        <v>4</v>
      </c>
      <c r="B250" s="4">
        <v>2</v>
      </c>
      <c r="C250" s="4" t="s">
        <v>80</v>
      </c>
      <c r="D250" s="4" t="s">
        <v>40</v>
      </c>
      <c r="E250" s="4" t="s">
        <v>9</v>
      </c>
      <c r="F250" s="4" t="s">
        <v>70</v>
      </c>
    </row>
    <row r="251" spans="1:6" x14ac:dyDescent="0.3">
      <c r="A251" s="4">
        <v>4</v>
      </c>
      <c r="B251" s="4">
        <v>1</v>
      </c>
      <c r="C251" s="4" t="s">
        <v>81</v>
      </c>
      <c r="D251" s="4" t="s">
        <v>40</v>
      </c>
      <c r="E251" s="4" t="s">
        <v>10</v>
      </c>
      <c r="F251" s="4" t="s">
        <v>74</v>
      </c>
    </row>
    <row r="252" spans="1:6" x14ac:dyDescent="0.3">
      <c r="A252" s="15">
        <v>4</v>
      </c>
      <c r="B252" s="11">
        <v>2</v>
      </c>
      <c r="C252" s="11" t="s">
        <v>100</v>
      </c>
      <c r="D252" s="11" t="s">
        <v>29</v>
      </c>
      <c r="E252" s="15" t="s">
        <v>42</v>
      </c>
      <c r="F252" s="15" t="s">
        <v>61</v>
      </c>
    </row>
    <row r="253" spans="1:6" x14ac:dyDescent="0.3">
      <c r="A253" s="15">
        <v>4</v>
      </c>
      <c r="B253" s="15">
        <v>2</v>
      </c>
      <c r="C253" s="15" t="s">
        <v>80</v>
      </c>
      <c r="D253" s="15" t="s">
        <v>40</v>
      </c>
      <c r="E253" s="15" t="s">
        <v>10</v>
      </c>
      <c r="F253" s="15" t="s">
        <v>71</v>
      </c>
    </row>
    <row r="254" spans="1:6" x14ac:dyDescent="0.3">
      <c r="A254" s="15">
        <v>4</v>
      </c>
      <c r="B254" s="11">
        <v>1</v>
      </c>
      <c r="C254" s="11" t="s">
        <v>99</v>
      </c>
      <c r="D254" s="11" t="s">
        <v>29</v>
      </c>
      <c r="E254" s="15" t="s">
        <v>42</v>
      </c>
      <c r="F254" s="15" t="s">
        <v>60</v>
      </c>
    </row>
    <row r="255" spans="1:6" x14ac:dyDescent="0.3">
      <c r="A255" s="4">
        <v>4</v>
      </c>
      <c r="B255" s="11">
        <v>1</v>
      </c>
      <c r="C255" s="11" t="s">
        <v>99</v>
      </c>
      <c r="D255" s="11" t="s">
        <v>29</v>
      </c>
      <c r="E255" s="4" t="s">
        <v>42</v>
      </c>
      <c r="F255" s="4" t="s">
        <v>66</v>
      </c>
    </row>
    <row r="256" spans="1:6" x14ac:dyDescent="0.3">
      <c r="A256" s="15">
        <v>4</v>
      </c>
      <c r="B256" s="15">
        <v>2</v>
      </c>
      <c r="C256" s="15" t="s">
        <v>80</v>
      </c>
      <c r="D256" s="15" t="s">
        <v>40</v>
      </c>
      <c r="E256" s="15" t="s">
        <v>9</v>
      </c>
      <c r="F256" s="15" t="s">
        <v>68</v>
      </c>
    </row>
    <row r="257" spans="1:6" x14ac:dyDescent="0.3">
      <c r="A257" s="15">
        <v>4</v>
      </c>
      <c r="B257" s="15">
        <v>1</v>
      </c>
      <c r="C257" s="15" t="s">
        <v>81</v>
      </c>
      <c r="D257" s="15" t="s">
        <v>40</v>
      </c>
      <c r="E257" s="15" t="s">
        <v>10</v>
      </c>
      <c r="F257" s="15" t="s">
        <v>67</v>
      </c>
    </row>
    <row r="258" spans="1:6" x14ac:dyDescent="0.3">
      <c r="A258" s="15">
        <v>4</v>
      </c>
      <c r="B258" s="15">
        <v>1</v>
      </c>
      <c r="C258" s="15" t="s">
        <v>81</v>
      </c>
      <c r="D258" s="15" t="s">
        <v>40</v>
      </c>
      <c r="E258" s="15" t="s">
        <v>9</v>
      </c>
      <c r="F258" s="15" t="s">
        <v>73</v>
      </c>
    </row>
    <row r="259" spans="1:6" x14ac:dyDescent="0.3">
      <c r="A259" s="4">
        <v>4</v>
      </c>
      <c r="B259" s="11">
        <v>2</v>
      </c>
      <c r="C259" s="11" t="s">
        <v>100</v>
      </c>
      <c r="D259" s="11" t="s">
        <v>29</v>
      </c>
      <c r="E259" s="4" t="s">
        <v>42</v>
      </c>
      <c r="F259" s="4" t="s">
        <v>64</v>
      </c>
    </row>
    <row r="260" spans="1:6" x14ac:dyDescent="0.3">
      <c r="A260" s="15">
        <v>4</v>
      </c>
      <c r="B260" s="11">
        <v>1</v>
      </c>
      <c r="C260" s="11" t="s">
        <v>99</v>
      </c>
      <c r="D260" s="11" t="s">
        <v>29</v>
      </c>
      <c r="E260" s="15" t="s">
        <v>42</v>
      </c>
      <c r="F260" s="15" t="s">
        <v>62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88"/>
  <sheetViews>
    <sheetView zoomScaleNormal="100" workbookViewId="0">
      <selection activeCell="L20" sqref="L20"/>
    </sheetView>
  </sheetViews>
  <sheetFormatPr defaultRowHeight="14.4" x14ac:dyDescent="0.3"/>
  <cols>
    <col min="1" max="1" width="6.33203125" bestFit="1" customWidth="1"/>
    <col min="2" max="2" width="11.33203125" bestFit="1" customWidth="1"/>
    <col min="3" max="3" width="11.88671875" bestFit="1" customWidth="1"/>
    <col min="4" max="4" width="8.33203125" bestFit="1" customWidth="1"/>
    <col min="5" max="5" width="13" bestFit="1" customWidth="1"/>
    <col min="6" max="6" width="17.109375" customWidth="1"/>
    <col min="9" max="9" width="12.5546875" bestFit="1" customWidth="1"/>
    <col min="10" max="10" width="13.88671875" bestFit="1" customWidth="1"/>
    <col min="12" max="13" width="19.6640625" customWidth="1"/>
    <col min="14" max="14" width="20.5546875" customWidth="1"/>
    <col min="15" max="15" width="19.6640625" customWidth="1"/>
  </cols>
  <sheetData>
    <row r="1" spans="1:6" x14ac:dyDescent="0.3">
      <c r="A1" s="21" t="s">
        <v>83</v>
      </c>
      <c r="B1" s="21" t="s">
        <v>75</v>
      </c>
      <c r="C1" s="21" t="s">
        <v>76</v>
      </c>
      <c r="D1" s="21" t="s">
        <v>77</v>
      </c>
      <c r="E1" s="21" t="s">
        <v>78</v>
      </c>
      <c r="F1" s="21" t="s">
        <v>79</v>
      </c>
    </row>
    <row r="2" spans="1:6" x14ac:dyDescent="0.3">
      <c r="A2" s="12">
        <v>1</v>
      </c>
      <c r="B2" s="12">
        <v>2</v>
      </c>
      <c r="C2" s="12" t="s">
        <v>80</v>
      </c>
      <c r="D2" s="15" t="s">
        <v>0</v>
      </c>
      <c r="E2" s="15" t="s">
        <v>41</v>
      </c>
      <c r="F2" s="15" t="s">
        <v>43</v>
      </c>
    </row>
    <row r="3" spans="1:6" x14ac:dyDescent="0.3">
      <c r="A3" s="47">
        <v>1</v>
      </c>
      <c r="B3" s="7">
        <v>2</v>
      </c>
      <c r="C3" s="7" t="s">
        <v>80</v>
      </c>
      <c r="D3" s="4" t="s">
        <v>40</v>
      </c>
      <c r="E3" s="4" t="s">
        <v>9</v>
      </c>
      <c r="F3" s="4" t="s">
        <v>43</v>
      </c>
    </row>
    <row r="4" spans="1:6" x14ac:dyDescent="0.3">
      <c r="A4" s="47">
        <v>1</v>
      </c>
      <c r="B4" s="14">
        <v>1</v>
      </c>
      <c r="C4" s="13" t="s">
        <v>81</v>
      </c>
      <c r="D4" s="8" t="s">
        <v>29</v>
      </c>
      <c r="E4" s="15" t="s">
        <v>42</v>
      </c>
      <c r="F4" s="15" t="s">
        <v>74</v>
      </c>
    </row>
    <row r="5" spans="1:6" x14ac:dyDescent="0.3">
      <c r="A5" s="47">
        <v>1</v>
      </c>
      <c r="B5" s="7">
        <v>2</v>
      </c>
      <c r="C5" s="7" t="s">
        <v>80</v>
      </c>
      <c r="D5" s="4" t="s">
        <v>0</v>
      </c>
      <c r="E5" s="4" t="s">
        <v>41</v>
      </c>
      <c r="F5" s="4" t="s">
        <v>44</v>
      </c>
    </row>
    <row r="6" spans="1:6" x14ac:dyDescent="0.3">
      <c r="A6" s="47">
        <v>1</v>
      </c>
      <c r="B6" s="12">
        <v>2</v>
      </c>
      <c r="C6" s="12" t="s">
        <v>80</v>
      </c>
      <c r="D6" s="15" t="s">
        <v>40</v>
      </c>
      <c r="E6" s="15" t="s">
        <v>9</v>
      </c>
      <c r="F6" s="15" t="s">
        <v>44</v>
      </c>
    </row>
    <row r="7" spans="1:6" x14ac:dyDescent="0.3">
      <c r="A7" s="47">
        <v>1</v>
      </c>
      <c r="B7" s="14">
        <v>1</v>
      </c>
      <c r="C7" s="14" t="s">
        <v>81</v>
      </c>
      <c r="D7" s="8" t="s">
        <v>29</v>
      </c>
      <c r="E7" s="4" t="s">
        <v>42</v>
      </c>
      <c r="F7" s="4" t="s">
        <v>73</v>
      </c>
    </row>
    <row r="8" spans="1:6" x14ac:dyDescent="0.3">
      <c r="A8" s="47">
        <v>1</v>
      </c>
      <c r="B8" s="12">
        <v>2</v>
      </c>
      <c r="C8" s="12" t="s">
        <v>80</v>
      </c>
      <c r="D8" s="15" t="s">
        <v>0</v>
      </c>
      <c r="E8" s="15" t="s">
        <v>41</v>
      </c>
      <c r="F8" s="15" t="s">
        <v>45</v>
      </c>
    </row>
    <row r="9" spans="1:6" x14ac:dyDescent="0.3">
      <c r="A9" s="7">
        <v>1</v>
      </c>
      <c r="B9" s="7">
        <v>1</v>
      </c>
      <c r="C9" s="7" t="s">
        <v>81</v>
      </c>
      <c r="D9" s="4" t="s">
        <v>40</v>
      </c>
      <c r="E9" s="4" t="s">
        <v>10</v>
      </c>
      <c r="F9" s="4" t="s">
        <v>45</v>
      </c>
    </row>
    <row r="10" spans="1:6" x14ac:dyDescent="0.3">
      <c r="A10" s="12">
        <v>1</v>
      </c>
      <c r="B10" s="12">
        <v>1</v>
      </c>
      <c r="C10" s="12" t="s">
        <v>81</v>
      </c>
      <c r="D10" s="15" t="s">
        <v>0</v>
      </c>
      <c r="E10" s="15" t="s">
        <v>41</v>
      </c>
      <c r="F10" s="15" t="s">
        <v>46</v>
      </c>
    </row>
    <row r="11" spans="1:6" x14ac:dyDescent="0.3">
      <c r="A11" s="7">
        <v>1</v>
      </c>
      <c r="B11" s="7">
        <v>2</v>
      </c>
      <c r="C11" s="7" t="s">
        <v>80</v>
      </c>
      <c r="D11" s="4" t="s">
        <v>40</v>
      </c>
      <c r="E11" s="4" t="s">
        <v>10</v>
      </c>
      <c r="F11" s="4" t="s">
        <v>46</v>
      </c>
    </row>
    <row r="12" spans="1:6" x14ac:dyDescent="0.3">
      <c r="A12" s="12">
        <v>1</v>
      </c>
      <c r="B12" s="14">
        <v>2</v>
      </c>
      <c r="C12" s="13" t="s">
        <v>80</v>
      </c>
      <c r="D12" s="8" t="s">
        <v>29</v>
      </c>
      <c r="E12" s="15" t="s">
        <v>42</v>
      </c>
      <c r="F12" s="15" t="s">
        <v>72</v>
      </c>
    </row>
    <row r="13" spans="1:6" x14ac:dyDescent="0.3">
      <c r="A13" s="7">
        <v>1</v>
      </c>
      <c r="B13" s="7">
        <v>2</v>
      </c>
      <c r="C13" s="7" t="s">
        <v>80</v>
      </c>
      <c r="D13" s="4" t="s">
        <v>0</v>
      </c>
      <c r="E13" s="4" t="s">
        <v>41</v>
      </c>
      <c r="F13" s="4" t="s">
        <v>47</v>
      </c>
    </row>
    <row r="14" spans="1:6" x14ac:dyDescent="0.3">
      <c r="A14" s="12">
        <v>1</v>
      </c>
      <c r="B14" s="12">
        <v>1</v>
      </c>
      <c r="C14" s="12" t="s">
        <v>81</v>
      </c>
      <c r="D14" s="15" t="s">
        <v>40</v>
      </c>
      <c r="E14" s="15" t="s">
        <v>10</v>
      </c>
      <c r="F14" s="15" t="s">
        <v>47</v>
      </c>
    </row>
    <row r="15" spans="1:6" x14ac:dyDescent="0.3">
      <c r="A15" s="7">
        <v>1</v>
      </c>
      <c r="B15" s="14">
        <v>2</v>
      </c>
      <c r="C15" s="14" t="s">
        <v>80</v>
      </c>
      <c r="D15" s="8" t="s">
        <v>29</v>
      </c>
      <c r="E15" s="4" t="s">
        <v>42</v>
      </c>
      <c r="F15" s="4" t="s">
        <v>71</v>
      </c>
    </row>
    <row r="16" spans="1:6" x14ac:dyDescent="0.3">
      <c r="A16" s="12">
        <v>1</v>
      </c>
      <c r="B16" s="12">
        <v>1</v>
      </c>
      <c r="C16" s="12" t="s">
        <v>81</v>
      </c>
      <c r="D16" s="15" t="s">
        <v>0</v>
      </c>
      <c r="E16" s="15" t="s">
        <v>41</v>
      </c>
      <c r="F16" s="15" t="s">
        <v>48</v>
      </c>
    </row>
    <row r="17" spans="1:12" x14ac:dyDescent="0.3">
      <c r="A17" s="7">
        <v>1</v>
      </c>
      <c r="B17" s="7">
        <v>1</v>
      </c>
      <c r="C17" s="7" t="s">
        <v>81</v>
      </c>
      <c r="D17" s="4" t="s">
        <v>40</v>
      </c>
      <c r="E17" s="4" t="s">
        <v>9</v>
      </c>
      <c r="F17" s="4" t="s">
        <v>48</v>
      </c>
      <c r="L17" t="s">
        <v>19</v>
      </c>
    </row>
    <row r="18" spans="1:12" x14ac:dyDescent="0.3">
      <c r="A18" s="12">
        <v>1</v>
      </c>
      <c r="B18" s="14">
        <v>2</v>
      </c>
      <c r="C18" s="13" t="s">
        <v>80</v>
      </c>
      <c r="D18" s="8" t="s">
        <v>29</v>
      </c>
      <c r="E18" s="15" t="s">
        <v>42</v>
      </c>
      <c r="F18" s="15" t="s">
        <v>70</v>
      </c>
    </row>
    <row r="19" spans="1:12" x14ac:dyDescent="0.3">
      <c r="A19" s="7">
        <v>1</v>
      </c>
      <c r="B19" s="7">
        <v>1</v>
      </c>
      <c r="C19" s="7" t="s">
        <v>81</v>
      </c>
      <c r="D19" s="4" t="s">
        <v>0</v>
      </c>
      <c r="E19" s="4" t="s">
        <v>41</v>
      </c>
      <c r="F19" s="4" t="s">
        <v>49</v>
      </c>
    </row>
    <row r="20" spans="1:12" x14ac:dyDescent="0.3">
      <c r="A20" s="12">
        <v>1</v>
      </c>
      <c r="B20" s="12">
        <v>1</v>
      </c>
      <c r="C20" s="12" t="s">
        <v>81</v>
      </c>
      <c r="D20" s="15" t="s">
        <v>40</v>
      </c>
      <c r="E20" s="15" t="s">
        <v>9</v>
      </c>
      <c r="F20" s="15" t="s">
        <v>49</v>
      </c>
    </row>
    <row r="21" spans="1:12" x14ac:dyDescent="0.3">
      <c r="A21" s="7">
        <v>1</v>
      </c>
      <c r="B21" s="14">
        <v>2</v>
      </c>
      <c r="C21" s="14" t="s">
        <v>80</v>
      </c>
      <c r="D21" s="8" t="s">
        <v>29</v>
      </c>
      <c r="E21" s="4" t="s">
        <v>42</v>
      </c>
      <c r="F21" s="4" t="s">
        <v>69</v>
      </c>
    </row>
    <row r="22" spans="1:12" x14ac:dyDescent="0.3">
      <c r="A22" s="12">
        <v>1</v>
      </c>
      <c r="B22" s="12">
        <v>1</v>
      </c>
      <c r="C22" s="12" t="s">
        <v>81</v>
      </c>
      <c r="D22" s="15" t="s">
        <v>0</v>
      </c>
      <c r="E22" s="15" t="s">
        <v>41</v>
      </c>
      <c r="F22" s="15" t="s">
        <v>50</v>
      </c>
    </row>
    <row r="23" spans="1:12" x14ac:dyDescent="0.3">
      <c r="A23" s="7">
        <v>1</v>
      </c>
      <c r="B23" s="7">
        <v>2</v>
      </c>
      <c r="C23" s="7" t="s">
        <v>80</v>
      </c>
      <c r="D23" s="4" t="s">
        <v>40</v>
      </c>
      <c r="E23" s="4" t="s">
        <v>10</v>
      </c>
      <c r="F23" s="4" t="s">
        <v>50</v>
      </c>
    </row>
    <row r="24" spans="1:12" x14ac:dyDescent="0.3">
      <c r="A24" s="12">
        <v>1</v>
      </c>
      <c r="B24" s="14">
        <v>1</v>
      </c>
      <c r="C24" s="13" t="s">
        <v>81</v>
      </c>
      <c r="D24" s="8" t="s">
        <v>29</v>
      </c>
      <c r="E24" s="15" t="s">
        <v>42</v>
      </c>
      <c r="F24" s="15" t="s">
        <v>68</v>
      </c>
    </row>
    <row r="25" spans="1:12" x14ac:dyDescent="0.3">
      <c r="A25" s="7">
        <v>1</v>
      </c>
      <c r="B25" s="14">
        <v>1</v>
      </c>
      <c r="C25" s="14" t="s">
        <v>81</v>
      </c>
      <c r="D25" s="8" t="s">
        <v>29</v>
      </c>
      <c r="E25" s="4" t="s">
        <v>42</v>
      </c>
      <c r="F25" s="4" t="s">
        <v>67</v>
      </c>
    </row>
    <row r="26" spans="1:12" x14ac:dyDescent="0.3">
      <c r="A26" s="4">
        <v>2</v>
      </c>
      <c r="B26" s="9">
        <v>2</v>
      </c>
      <c r="C26" s="9" t="s">
        <v>80</v>
      </c>
      <c r="D26" s="9" t="s">
        <v>29</v>
      </c>
      <c r="E26" s="4" t="s">
        <v>42</v>
      </c>
      <c r="F26" s="4" t="s">
        <v>43</v>
      </c>
      <c r="I26" t="s">
        <v>19</v>
      </c>
    </row>
    <row r="27" spans="1:12" x14ac:dyDescent="0.3">
      <c r="A27" s="15">
        <v>2</v>
      </c>
      <c r="B27" s="12">
        <v>1</v>
      </c>
      <c r="C27" s="12" t="s">
        <v>81</v>
      </c>
      <c r="D27" s="15" t="s">
        <v>0</v>
      </c>
      <c r="E27" s="15" t="s">
        <v>41</v>
      </c>
      <c r="F27" s="15" t="s">
        <v>58</v>
      </c>
    </row>
    <row r="28" spans="1:12" x14ac:dyDescent="0.3">
      <c r="A28" s="4">
        <v>2</v>
      </c>
      <c r="B28" s="7">
        <v>1</v>
      </c>
      <c r="C28" s="7" t="s">
        <v>81</v>
      </c>
      <c r="D28" s="4" t="s">
        <v>40</v>
      </c>
      <c r="E28" s="4" t="s">
        <v>9</v>
      </c>
      <c r="F28" s="4" t="s">
        <v>58</v>
      </c>
    </row>
    <row r="29" spans="1:12" x14ac:dyDescent="0.3">
      <c r="A29" s="15">
        <v>2</v>
      </c>
      <c r="B29" s="9">
        <v>2</v>
      </c>
      <c r="C29" s="9" t="s">
        <v>80</v>
      </c>
      <c r="D29" s="9" t="s">
        <v>29</v>
      </c>
      <c r="E29" s="15" t="s">
        <v>42</v>
      </c>
      <c r="F29" s="15" t="s">
        <v>44</v>
      </c>
    </row>
    <row r="30" spans="1:12" x14ac:dyDescent="0.3">
      <c r="A30" s="15">
        <v>2</v>
      </c>
      <c r="B30" s="12">
        <v>1</v>
      </c>
      <c r="C30" s="7" t="s">
        <v>81</v>
      </c>
      <c r="D30" s="15" t="s">
        <v>0</v>
      </c>
      <c r="E30" s="15" t="s">
        <v>41</v>
      </c>
      <c r="F30" s="15" t="s">
        <v>57</v>
      </c>
    </row>
    <row r="31" spans="1:12" x14ac:dyDescent="0.3">
      <c r="A31" s="4">
        <v>2</v>
      </c>
      <c r="B31" s="7">
        <v>1</v>
      </c>
      <c r="C31" s="7" t="s">
        <v>81</v>
      </c>
      <c r="D31" s="4" t="s">
        <v>40</v>
      </c>
      <c r="E31" s="4" t="s">
        <v>9</v>
      </c>
      <c r="F31" s="4" t="s">
        <v>57</v>
      </c>
    </row>
    <row r="32" spans="1:12" x14ac:dyDescent="0.3">
      <c r="A32" s="15">
        <v>2</v>
      </c>
      <c r="B32" s="12">
        <v>1</v>
      </c>
      <c r="C32" s="7" t="s">
        <v>81</v>
      </c>
      <c r="D32" s="15" t="s">
        <v>0</v>
      </c>
      <c r="E32" s="15" t="s">
        <v>41</v>
      </c>
      <c r="F32" s="15" t="s">
        <v>56</v>
      </c>
    </row>
    <row r="33" spans="1:6" x14ac:dyDescent="0.3">
      <c r="A33" s="4">
        <v>2</v>
      </c>
      <c r="B33" s="7">
        <v>2</v>
      </c>
      <c r="C33" s="7" t="s">
        <v>80</v>
      </c>
      <c r="D33" s="4" t="s">
        <v>40</v>
      </c>
      <c r="E33" s="4" t="s">
        <v>10</v>
      </c>
      <c r="F33" s="4" t="s">
        <v>56</v>
      </c>
    </row>
    <row r="34" spans="1:6" x14ac:dyDescent="0.3">
      <c r="A34" s="15">
        <v>2</v>
      </c>
      <c r="B34" s="12">
        <v>2</v>
      </c>
      <c r="C34" s="7" t="s">
        <v>80</v>
      </c>
      <c r="D34" s="15" t="s">
        <v>0</v>
      </c>
      <c r="E34" s="15" t="s">
        <v>41</v>
      </c>
      <c r="F34" s="15" t="s">
        <v>55</v>
      </c>
    </row>
    <row r="35" spans="1:6" x14ac:dyDescent="0.3">
      <c r="A35" s="4">
        <v>2</v>
      </c>
      <c r="B35" s="7">
        <v>1</v>
      </c>
      <c r="C35" s="7" t="s">
        <v>81</v>
      </c>
      <c r="D35" s="4" t="s">
        <v>40</v>
      </c>
      <c r="E35" s="4" t="s">
        <v>10</v>
      </c>
      <c r="F35" s="4" t="s">
        <v>55</v>
      </c>
    </row>
    <row r="36" spans="1:6" x14ac:dyDescent="0.3">
      <c r="A36" s="4">
        <v>2</v>
      </c>
      <c r="B36" s="9">
        <v>2</v>
      </c>
      <c r="C36" s="9" t="s">
        <v>80</v>
      </c>
      <c r="D36" s="9" t="s">
        <v>29</v>
      </c>
      <c r="E36" s="4" t="s">
        <v>42</v>
      </c>
      <c r="F36" s="4" t="s">
        <v>45</v>
      </c>
    </row>
    <row r="37" spans="1:6" x14ac:dyDescent="0.3">
      <c r="A37" s="15">
        <v>2</v>
      </c>
      <c r="B37" s="12">
        <v>1</v>
      </c>
      <c r="C37" s="7" t="s">
        <v>81</v>
      </c>
      <c r="D37" s="15" t="s">
        <v>0</v>
      </c>
      <c r="E37" s="15" t="s">
        <v>41</v>
      </c>
      <c r="F37" s="15" t="s">
        <v>54</v>
      </c>
    </row>
    <row r="38" spans="1:6" x14ac:dyDescent="0.3">
      <c r="A38" s="4">
        <v>2</v>
      </c>
      <c r="B38" s="7">
        <v>2</v>
      </c>
      <c r="C38" s="7" t="s">
        <v>80</v>
      </c>
      <c r="D38" s="4" t="s">
        <v>40</v>
      </c>
      <c r="E38" s="4" t="s">
        <v>10</v>
      </c>
      <c r="F38" s="4" t="s">
        <v>54</v>
      </c>
    </row>
    <row r="39" spans="1:6" x14ac:dyDescent="0.3">
      <c r="A39" s="15">
        <v>2</v>
      </c>
      <c r="B39" s="9">
        <v>1</v>
      </c>
      <c r="C39" s="9" t="s">
        <v>81</v>
      </c>
      <c r="D39" s="9" t="s">
        <v>29</v>
      </c>
      <c r="E39" s="15" t="s">
        <v>42</v>
      </c>
      <c r="F39" s="15" t="s">
        <v>46</v>
      </c>
    </row>
    <row r="40" spans="1:6" x14ac:dyDescent="0.3">
      <c r="A40" s="4">
        <v>2</v>
      </c>
      <c r="B40" s="9">
        <v>1</v>
      </c>
      <c r="C40" s="9" t="s">
        <v>81</v>
      </c>
      <c r="D40" s="9" t="s">
        <v>29</v>
      </c>
      <c r="E40" s="4" t="s">
        <v>42</v>
      </c>
      <c r="F40" s="4" t="s">
        <v>47</v>
      </c>
    </row>
    <row r="41" spans="1:6" x14ac:dyDescent="0.3">
      <c r="A41" s="15">
        <v>2</v>
      </c>
      <c r="B41" s="12">
        <v>2</v>
      </c>
      <c r="C41" s="12" t="s">
        <v>80</v>
      </c>
      <c r="D41" s="15" t="s">
        <v>0</v>
      </c>
      <c r="E41" s="15" t="s">
        <v>41</v>
      </c>
      <c r="F41" s="15" t="s">
        <v>53</v>
      </c>
    </row>
    <row r="42" spans="1:6" x14ac:dyDescent="0.3">
      <c r="A42" s="4">
        <v>2</v>
      </c>
      <c r="B42" s="7">
        <v>2</v>
      </c>
      <c r="C42" s="7" t="s">
        <v>80</v>
      </c>
      <c r="D42" s="4" t="s">
        <v>40</v>
      </c>
      <c r="E42" s="4" t="s">
        <v>9</v>
      </c>
      <c r="F42" s="4" t="s">
        <v>53</v>
      </c>
    </row>
    <row r="43" spans="1:6" x14ac:dyDescent="0.3">
      <c r="A43" s="15">
        <v>2</v>
      </c>
      <c r="B43" s="9">
        <v>1</v>
      </c>
      <c r="C43" s="9" t="s">
        <v>81</v>
      </c>
      <c r="D43" s="9" t="s">
        <v>29</v>
      </c>
      <c r="E43" s="15" t="s">
        <v>42</v>
      </c>
      <c r="F43" s="15" t="s">
        <v>48</v>
      </c>
    </row>
    <row r="44" spans="1:6" x14ac:dyDescent="0.3">
      <c r="A44" s="4">
        <v>2</v>
      </c>
      <c r="B44" s="7">
        <v>2</v>
      </c>
      <c r="C44" s="7" t="s">
        <v>80</v>
      </c>
      <c r="D44" s="4" t="s">
        <v>0</v>
      </c>
      <c r="E44" s="4" t="s">
        <v>41</v>
      </c>
      <c r="F44" s="4" t="s">
        <v>52</v>
      </c>
    </row>
    <row r="45" spans="1:6" x14ac:dyDescent="0.3">
      <c r="A45" s="15">
        <v>2</v>
      </c>
      <c r="B45" s="12">
        <v>2</v>
      </c>
      <c r="C45" s="12" t="s">
        <v>80</v>
      </c>
      <c r="D45" s="15" t="s">
        <v>40</v>
      </c>
      <c r="E45" s="15" t="s">
        <v>9</v>
      </c>
      <c r="F45" s="15" t="s">
        <v>52</v>
      </c>
    </row>
    <row r="46" spans="1:6" x14ac:dyDescent="0.3">
      <c r="A46" s="4">
        <v>2</v>
      </c>
      <c r="B46" s="9">
        <v>2</v>
      </c>
      <c r="C46" s="9" t="s">
        <v>80</v>
      </c>
      <c r="D46" s="9" t="s">
        <v>29</v>
      </c>
      <c r="E46" s="4" t="s">
        <v>42</v>
      </c>
      <c r="F46" s="4" t="s">
        <v>49</v>
      </c>
    </row>
    <row r="47" spans="1:6" x14ac:dyDescent="0.3">
      <c r="A47" s="15">
        <v>2</v>
      </c>
      <c r="B47" s="9">
        <v>1</v>
      </c>
      <c r="C47" s="9" t="s">
        <v>81</v>
      </c>
      <c r="D47" s="9" t="s">
        <v>29</v>
      </c>
      <c r="E47" s="15" t="s">
        <v>42</v>
      </c>
      <c r="F47" s="15" t="s">
        <v>50</v>
      </c>
    </row>
    <row r="48" spans="1:6" x14ac:dyDescent="0.3">
      <c r="A48" s="4">
        <v>2</v>
      </c>
      <c r="B48" s="7">
        <v>2</v>
      </c>
      <c r="C48" s="7" t="s">
        <v>80</v>
      </c>
      <c r="D48" s="4" t="s">
        <v>0</v>
      </c>
      <c r="E48" s="4" t="s">
        <v>41</v>
      </c>
      <c r="F48" s="4" t="s">
        <v>51</v>
      </c>
    </row>
    <row r="49" spans="1:6" x14ac:dyDescent="0.3">
      <c r="A49" s="15">
        <v>2</v>
      </c>
      <c r="B49" s="12">
        <v>1</v>
      </c>
      <c r="C49" s="12" t="s">
        <v>81</v>
      </c>
      <c r="D49" s="15" t="s">
        <v>40</v>
      </c>
      <c r="E49" s="15" t="s">
        <v>10</v>
      </c>
      <c r="F49" s="15" t="s">
        <v>51</v>
      </c>
    </row>
    <row r="50" spans="1:6" x14ac:dyDescent="0.3">
      <c r="A50" s="12">
        <v>3</v>
      </c>
      <c r="B50" s="12">
        <v>1</v>
      </c>
      <c r="C50" s="12" t="s">
        <v>81</v>
      </c>
      <c r="D50" s="15" t="s">
        <v>0</v>
      </c>
      <c r="E50" s="15" t="s">
        <v>41</v>
      </c>
      <c r="F50" s="15" t="s">
        <v>59</v>
      </c>
    </row>
    <row r="51" spans="1:6" x14ac:dyDescent="0.3">
      <c r="A51" s="7">
        <v>3</v>
      </c>
      <c r="B51" s="7">
        <v>2</v>
      </c>
      <c r="C51" s="7" t="s">
        <v>80</v>
      </c>
      <c r="D51" s="4" t="s">
        <v>40</v>
      </c>
      <c r="E51" s="4" t="s">
        <v>10</v>
      </c>
      <c r="F51" s="4" t="s">
        <v>59</v>
      </c>
    </row>
    <row r="52" spans="1:6" x14ac:dyDescent="0.3">
      <c r="A52" s="12">
        <v>3</v>
      </c>
      <c r="B52" s="12">
        <v>2</v>
      </c>
      <c r="C52" s="12" t="s">
        <v>80</v>
      </c>
      <c r="D52" s="15" t="s">
        <v>0</v>
      </c>
      <c r="E52" s="15" t="s">
        <v>41</v>
      </c>
      <c r="F52" s="15" t="s">
        <v>60</v>
      </c>
    </row>
    <row r="53" spans="1:6" x14ac:dyDescent="0.3">
      <c r="A53" s="7">
        <v>3</v>
      </c>
      <c r="B53" s="7">
        <v>1</v>
      </c>
      <c r="C53" s="7" t="s">
        <v>81</v>
      </c>
      <c r="D53" s="4" t="s">
        <v>40</v>
      </c>
      <c r="E53" s="4" t="s">
        <v>10</v>
      </c>
      <c r="F53" s="4" t="s">
        <v>60</v>
      </c>
    </row>
    <row r="54" spans="1:6" x14ac:dyDescent="0.3">
      <c r="A54" s="12">
        <v>3</v>
      </c>
      <c r="B54" s="10">
        <v>1</v>
      </c>
      <c r="C54" s="10" t="s">
        <v>81</v>
      </c>
      <c r="D54" s="10" t="s">
        <v>29</v>
      </c>
      <c r="E54" s="15" t="s">
        <v>42</v>
      </c>
      <c r="F54" s="15" t="s">
        <v>58</v>
      </c>
    </row>
    <row r="55" spans="1:6" x14ac:dyDescent="0.3">
      <c r="A55" s="7">
        <v>3</v>
      </c>
      <c r="B55" s="7">
        <v>1</v>
      </c>
      <c r="C55" s="7" t="s">
        <v>81</v>
      </c>
      <c r="D55" s="4" t="s">
        <v>0</v>
      </c>
      <c r="E55" s="4" t="s">
        <v>41</v>
      </c>
      <c r="F55" s="4" t="s">
        <v>61</v>
      </c>
    </row>
    <row r="56" spans="1:6" x14ac:dyDescent="0.3">
      <c r="A56" s="12">
        <v>3</v>
      </c>
      <c r="B56" s="12">
        <v>2</v>
      </c>
      <c r="C56" s="12" t="s">
        <v>80</v>
      </c>
      <c r="D56" s="15" t="s">
        <v>40</v>
      </c>
      <c r="E56" s="15" t="s">
        <v>10</v>
      </c>
      <c r="F56" s="15" t="s">
        <v>61</v>
      </c>
    </row>
    <row r="57" spans="1:6" x14ac:dyDescent="0.3">
      <c r="A57" s="7">
        <v>3</v>
      </c>
      <c r="B57" s="10">
        <v>1</v>
      </c>
      <c r="C57" s="10" t="s">
        <v>81</v>
      </c>
      <c r="D57" s="10" t="s">
        <v>29</v>
      </c>
      <c r="E57" s="4" t="s">
        <v>42</v>
      </c>
      <c r="F57" s="4" t="s">
        <v>57</v>
      </c>
    </row>
    <row r="58" spans="1:6" x14ac:dyDescent="0.3">
      <c r="A58" s="12">
        <v>3</v>
      </c>
      <c r="B58" s="12">
        <v>2</v>
      </c>
      <c r="C58" s="12" t="s">
        <v>80</v>
      </c>
      <c r="D58" s="15" t="s">
        <v>0</v>
      </c>
      <c r="E58" s="15" t="s">
        <v>41</v>
      </c>
      <c r="F58" s="15" t="s">
        <v>62</v>
      </c>
    </row>
    <row r="59" spans="1:6" x14ac:dyDescent="0.3">
      <c r="A59" s="7">
        <v>3</v>
      </c>
      <c r="B59" s="7">
        <v>2</v>
      </c>
      <c r="C59" s="7" t="s">
        <v>80</v>
      </c>
      <c r="D59" s="4" t="s">
        <v>40</v>
      </c>
      <c r="E59" s="4" t="s">
        <v>9</v>
      </c>
      <c r="F59" s="4" t="s">
        <v>62</v>
      </c>
    </row>
    <row r="60" spans="1:6" x14ac:dyDescent="0.3">
      <c r="A60" s="12">
        <v>3</v>
      </c>
      <c r="B60" s="10">
        <v>2</v>
      </c>
      <c r="C60" s="10" t="s">
        <v>80</v>
      </c>
      <c r="D60" s="10" t="s">
        <v>29</v>
      </c>
      <c r="E60" s="15" t="s">
        <v>42</v>
      </c>
      <c r="F60" s="15" t="s">
        <v>56</v>
      </c>
    </row>
    <row r="61" spans="1:6" x14ac:dyDescent="0.3">
      <c r="A61" s="7">
        <v>3</v>
      </c>
      <c r="B61" s="10">
        <v>1</v>
      </c>
      <c r="C61" s="10" t="s">
        <v>81</v>
      </c>
      <c r="D61" s="10" t="s">
        <v>29</v>
      </c>
      <c r="E61" s="4" t="s">
        <v>42</v>
      </c>
      <c r="F61" s="4" t="s">
        <v>55</v>
      </c>
    </row>
    <row r="62" spans="1:6" x14ac:dyDescent="0.3">
      <c r="A62" s="12">
        <v>3</v>
      </c>
      <c r="B62" s="10">
        <v>1</v>
      </c>
      <c r="C62" s="10" t="s">
        <v>81</v>
      </c>
      <c r="D62" s="10" t="s">
        <v>29</v>
      </c>
      <c r="E62" s="15" t="s">
        <v>42</v>
      </c>
      <c r="F62" s="15" t="s">
        <v>54</v>
      </c>
    </row>
    <row r="63" spans="1:6" x14ac:dyDescent="0.3">
      <c r="A63" s="7">
        <v>3</v>
      </c>
      <c r="B63" s="7">
        <v>2</v>
      </c>
      <c r="C63" s="7" t="s">
        <v>80</v>
      </c>
      <c r="D63" s="4" t="s">
        <v>0</v>
      </c>
      <c r="E63" s="4" t="s">
        <v>41</v>
      </c>
      <c r="F63" s="4" t="s">
        <v>63</v>
      </c>
    </row>
    <row r="64" spans="1:6" x14ac:dyDescent="0.3">
      <c r="A64" s="12">
        <v>3</v>
      </c>
      <c r="B64" s="12">
        <v>2</v>
      </c>
      <c r="C64" s="12" t="s">
        <v>80</v>
      </c>
      <c r="D64" s="15" t="s">
        <v>40</v>
      </c>
      <c r="E64" s="15" t="s">
        <v>9</v>
      </c>
      <c r="F64" s="15" t="s">
        <v>63</v>
      </c>
    </row>
    <row r="65" spans="1:11" x14ac:dyDescent="0.3">
      <c r="A65" s="7">
        <v>3</v>
      </c>
      <c r="B65" s="7">
        <v>2</v>
      </c>
      <c r="C65" s="7" t="s">
        <v>80</v>
      </c>
      <c r="D65" s="4" t="s">
        <v>0</v>
      </c>
      <c r="E65" s="4" t="s">
        <v>41</v>
      </c>
      <c r="F65" s="4" t="s">
        <v>64</v>
      </c>
    </row>
    <row r="66" spans="1:11" x14ac:dyDescent="0.3">
      <c r="A66" s="12">
        <v>3</v>
      </c>
      <c r="B66" s="12">
        <v>1</v>
      </c>
      <c r="C66" s="12" t="s">
        <v>81</v>
      </c>
      <c r="D66" s="15" t="s">
        <v>40</v>
      </c>
      <c r="E66" s="15" t="s">
        <v>10</v>
      </c>
      <c r="F66" s="15" t="s">
        <v>64</v>
      </c>
    </row>
    <row r="67" spans="1:11" x14ac:dyDescent="0.3">
      <c r="A67" s="7">
        <v>3</v>
      </c>
      <c r="B67" s="10">
        <v>2</v>
      </c>
      <c r="C67" s="10" t="s">
        <v>80</v>
      </c>
      <c r="D67" s="10" t="s">
        <v>29</v>
      </c>
      <c r="E67" s="4" t="s">
        <v>42</v>
      </c>
      <c r="F67" s="4" t="s">
        <v>53</v>
      </c>
    </row>
    <row r="68" spans="1:11" x14ac:dyDescent="0.3">
      <c r="A68" s="12">
        <v>3</v>
      </c>
      <c r="B68" s="12">
        <v>1</v>
      </c>
      <c r="C68" s="12" t="s">
        <v>81</v>
      </c>
      <c r="D68" s="15" t="s">
        <v>0</v>
      </c>
      <c r="E68" s="15" t="s">
        <v>41</v>
      </c>
      <c r="F68" s="15" t="s">
        <v>65</v>
      </c>
    </row>
    <row r="69" spans="1:11" x14ac:dyDescent="0.3">
      <c r="A69" s="7">
        <v>3</v>
      </c>
      <c r="B69" s="7">
        <v>1</v>
      </c>
      <c r="C69" s="7" t="s">
        <v>81</v>
      </c>
      <c r="D69" s="4" t="s">
        <v>40</v>
      </c>
      <c r="E69" s="4" t="s">
        <v>9</v>
      </c>
      <c r="F69" s="4" t="s">
        <v>65</v>
      </c>
    </row>
    <row r="70" spans="1:11" x14ac:dyDescent="0.3">
      <c r="A70" s="12">
        <v>3</v>
      </c>
      <c r="B70" s="10">
        <v>2</v>
      </c>
      <c r="C70" s="10" t="s">
        <v>80</v>
      </c>
      <c r="D70" s="10" t="s">
        <v>29</v>
      </c>
      <c r="E70" s="15" t="s">
        <v>42</v>
      </c>
      <c r="F70" s="15" t="s">
        <v>52</v>
      </c>
    </row>
    <row r="71" spans="1:11" x14ac:dyDescent="0.3">
      <c r="A71" s="7">
        <v>3</v>
      </c>
      <c r="B71" s="10">
        <v>2</v>
      </c>
      <c r="C71" s="10" t="s">
        <v>80</v>
      </c>
      <c r="D71" s="10" t="s">
        <v>29</v>
      </c>
      <c r="E71" s="4" t="s">
        <v>42</v>
      </c>
      <c r="F71" s="4" t="s">
        <v>51</v>
      </c>
    </row>
    <row r="72" spans="1:11" x14ac:dyDescent="0.3">
      <c r="A72" s="12">
        <v>3</v>
      </c>
      <c r="B72" s="12">
        <v>1</v>
      </c>
      <c r="C72" s="12" t="s">
        <v>81</v>
      </c>
      <c r="D72" s="15" t="s">
        <v>0</v>
      </c>
      <c r="E72" s="15" t="s">
        <v>41</v>
      </c>
      <c r="F72" s="15" t="s">
        <v>66</v>
      </c>
    </row>
    <row r="73" spans="1:11" x14ac:dyDescent="0.3">
      <c r="A73" s="7">
        <v>3</v>
      </c>
      <c r="B73" s="7">
        <v>1</v>
      </c>
      <c r="C73" s="7" t="s">
        <v>81</v>
      </c>
      <c r="D73" s="4" t="s">
        <v>40</v>
      </c>
      <c r="E73" s="4" t="s">
        <v>9</v>
      </c>
      <c r="F73" s="4" t="s">
        <v>66</v>
      </c>
      <c r="K73" t="s">
        <v>19</v>
      </c>
    </row>
    <row r="74" spans="1:11" x14ac:dyDescent="0.3">
      <c r="A74" s="4">
        <v>4</v>
      </c>
      <c r="B74" s="11">
        <v>2</v>
      </c>
      <c r="C74" s="11" t="s">
        <v>80</v>
      </c>
      <c r="D74" s="11" t="s">
        <v>29</v>
      </c>
      <c r="E74" s="4" t="s">
        <v>42</v>
      </c>
      <c r="F74" s="4" t="s">
        <v>59</v>
      </c>
    </row>
    <row r="75" spans="1:11" x14ac:dyDescent="0.3">
      <c r="A75" s="15">
        <v>4</v>
      </c>
      <c r="B75" s="12">
        <v>1</v>
      </c>
      <c r="C75" s="12" t="s">
        <v>81</v>
      </c>
      <c r="D75" s="15" t="s">
        <v>0</v>
      </c>
      <c r="E75" s="15" t="s">
        <v>41</v>
      </c>
      <c r="F75" s="15" t="s">
        <v>74</v>
      </c>
      <c r="K75" t="s">
        <v>19</v>
      </c>
    </row>
    <row r="76" spans="1:11" x14ac:dyDescent="0.3">
      <c r="A76" s="4">
        <v>4</v>
      </c>
      <c r="B76" s="7">
        <v>1</v>
      </c>
      <c r="C76" s="7" t="s">
        <v>81</v>
      </c>
      <c r="D76" s="4" t="s">
        <v>40</v>
      </c>
      <c r="E76" s="4" t="s">
        <v>9</v>
      </c>
      <c r="F76" s="4" t="s">
        <v>74</v>
      </c>
    </row>
    <row r="77" spans="1:11" x14ac:dyDescent="0.3">
      <c r="A77" s="15">
        <v>4</v>
      </c>
      <c r="B77" s="12">
        <v>1</v>
      </c>
      <c r="C77" s="12" t="s">
        <v>81</v>
      </c>
      <c r="D77" s="15" t="s">
        <v>0</v>
      </c>
      <c r="E77" s="15" t="s">
        <v>41</v>
      </c>
      <c r="F77" s="15" t="s">
        <v>73</v>
      </c>
    </row>
    <row r="78" spans="1:11" x14ac:dyDescent="0.3">
      <c r="A78" s="4">
        <v>4</v>
      </c>
      <c r="B78" s="7">
        <v>2</v>
      </c>
      <c r="C78" s="7" t="s">
        <v>80</v>
      </c>
      <c r="D78" s="4" t="s">
        <v>40</v>
      </c>
      <c r="E78" s="4" t="s">
        <v>10</v>
      </c>
      <c r="F78" s="4" t="s">
        <v>73</v>
      </c>
    </row>
    <row r="79" spans="1:11" x14ac:dyDescent="0.3">
      <c r="A79" s="15">
        <v>4</v>
      </c>
      <c r="B79" s="11">
        <v>1</v>
      </c>
      <c r="C79" s="11" t="s">
        <v>81</v>
      </c>
      <c r="D79" s="11" t="s">
        <v>29</v>
      </c>
      <c r="E79" s="15" t="s">
        <v>42</v>
      </c>
      <c r="F79" s="15" t="s">
        <v>60</v>
      </c>
    </row>
    <row r="80" spans="1:11" x14ac:dyDescent="0.3">
      <c r="A80" s="4">
        <v>4</v>
      </c>
      <c r="B80" s="11">
        <v>1</v>
      </c>
      <c r="C80" s="11" t="s">
        <v>81</v>
      </c>
      <c r="D80" s="11" t="s">
        <v>29</v>
      </c>
      <c r="E80" s="4" t="s">
        <v>42</v>
      </c>
      <c r="F80" s="4" t="s">
        <v>61</v>
      </c>
    </row>
    <row r="81" spans="1:6" x14ac:dyDescent="0.3">
      <c r="A81" s="15">
        <v>4</v>
      </c>
      <c r="B81" s="12">
        <v>2</v>
      </c>
      <c r="C81" s="12" t="s">
        <v>80</v>
      </c>
      <c r="D81" s="15" t="s">
        <v>0</v>
      </c>
      <c r="E81" s="15" t="s">
        <v>41</v>
      </c>
      <c r="F81" s="15" t="s">
        <v>72</v>
      </c>
    </row>
    <row r="82" spans="1:6" x14ac:dyDescent="0.3">
      <c r="A82" s="4">
        <v>4</v>
      </c>
      <c r="B82" s="7">
        <v>2</v>
      </c>
      <c r="C82" s="7" t="s">
        <v>80</v>
      </c>
      <c r="D82" s="4" t="s">
        <v>40</v>
      </c>
      <c r="E82" s="4" t="s">
        <v>9</v>
      </c>
      <c r="F82" s="4" t="s">
        <v>72</v>
      </c>
    </row>
    <row r="83" spans="1:6" x14ac:dyDescent="0.3">
      <c r="A83" s="15">
        <v>4</v>
      </c>
      <c r="B83" s="12">
        <v>2</v>
      </c>
      <c r="C83" s="12" t="s">
        <v>80</v>
      </c>
      <c r="D83" s="15" t="s">
        <v>0</v>
      </c>
      <c r="E83" s="15" t="s">
        <v>41</v>
      </c>
      <c r="F83" s="15" t="s">
        <v>71</v>
      </c>
    </row>
    <row r="84" spans="1:6" x14ac:dyDescent="0.3">
      <c r="A84" s="4">
        <v>4</v>
      </c>
      <c r="B84" s="7">
        <v>1</v>
      </c>
      <c r="C84" s="7" t="s">
        <v>81</v>
      </c>
      <c r="D84" s="4" t="s">
        <v>40</v>
      </c>
      <c r="E84" s="4" t="s">
        <v>10</v>
      </c>
      <c r="F84" s="4" t="s">
        <v>71</v>
      </c>
    </row>
    <row r="85" spans="1:6" x14ac:dyDescent="0.3">
      <c r="A85" s="15">
        <v>4</v>
      </c>
      <c r="B85" s="11">
        <v>2</v>
      </c>
      <c r="C85" s="11" t="s">
        <v>80</v>
      </c>
      <c r="D85" s="11" t="s">
        <v>29</v>
      </c>
      <c r="E85" s="15" t="s">
        <v>42</v>
      </c>
      <c r="F85" s="15" t="s">
        <v>62</v>
      </c>
    </row>
    <row r="86" spans="1:6" x14ac:dyDescent="0.3">
      <c r="A86" s="4">
        <v>4</v>
      </c>
      <c r="B86" s="7">
        <v>1</v>
      </c>
      <c r="C86" s="7" t="s">
        <v>81</v>
      </c>
      <c r="D86" s="4" t="s">
        <v>0</v>
      </c>
      <c r="E86" s="4" t="s">
        <v>41</v>
      </c>
      <c r="F86" s="4" t="s">
        <v>70</v>
      </c>
    </row>
    <row r="87" spans="1:6" x14ac:dyDescent="0.3">
      <c r="A87" s="15">
        <v>4</v>
      </c>
      <c r="B87" s="12">
        <v>2</v>
      </c>
      <c r="C87" s="12" t="s">
        <v>80</v>
      </c>
      <c r="D87" s="15" t="s">
        <v>40</v>
      </c>
      <c r="E87" s="15" t="s">
        <v>10</v>
      </c>
      <c r="F87" s="15" t="s">
        <v>70</v>
      </c>
    </row>
    <row r="88" spans="1:6" x14ac:dyDescent="0.3">
      <c r="A88" s="4">
        <v>4</v>
      </c>
      <c r="B88" s="7">
        <v>2</v>
      </c>
      <c r="C88" s="7" t="s">
        <v>80</v>
      </c>
      <c r="D88" s="4" t="s">
        <v>0</v>
      </c>
      <c r="E88" s="4" t="s">
        <v>41</v>
      </c>
      <c r="F88" s="4" t="s">
        <v>69</v>
      </c>
    </row>
    <row r="89" spans="1:6" x14ac:dyDescent="0.3">
      <c r="A89" s="15">
        <v>4</v>
      </c>
      <c r="B89" s="12">
        <v>2</v>
      </c>
      <c r="C89" s="12" t="s">
        <v>80</v>
      </c>
      <c r="D89" s="15" t="s">
        <v>40</v>
      </c>
      <c r="E89" s="15" t="s">
        <v>9</v>
      </c>
      <c r="F89" s="15" t="s">
        <v>69</v>
      </c>
    </row>
    <row r="90" spans="1:6" x14ac:dyDescent="0.3">
      <c r="A90" s="4">
        <v>4</v>
      </c>
      <c r="B90" s="11">
        <v>1</v>
      </c>
      <c r="C90" s="11" t="s">
        <v>81</v>
      </c>
      <c r="D90" s="11" t="s">
        <v>29</v>
      </c>
      <c r="E90" s="4" t="s">
        <v>42</v>
      </c>
      <c r="F90" s="4" t="s">
        <v>63</v>
      </c>
    </row>
    <row r="91" spans="1:6" x14ac:dyDescent="0.3">
      <c r="A91" s="15">
        <v>4</v>
      </c>
      <c r="B91" s="11">
        <v>2</v>
      </c>
      <c r="C91" s="11" t="s">
        <v>80</v>
      </c>
      <c r="D91" s="11" t="s">
        <v>29</v>
      </c>
      <c r="E91" s="15" t="s">
        <v>42</v>
      </c>
      <c r="F91" s="15" t="s">
        <v>64</v>
      </c>
    </row>
    <row r="92" spans="1:6" x14ac:dyDescent="0.3">
      <c r="A92" s="4">
        <v>4</v>
      </c>
      <c r="B92" s="11">
        <v>1</v>
      </c>
      <c r="C92" s="11" t="s">
        <v>81</v>
      </c>
      <c r="D92" s="11" t="s">
        <v>29</v>
      </c>
      <c r="E92" s="4" t="s">
        <v>42</v>
      </c>
      <c r="F92" s="4" t="s">
        <v>65</v>
      </c>
    </row>
    <row r="93" spans="1:6" x14ac:dyDescent="0.3">
      <c r="A93" s="15">
        <v>4</v>
      </c>
      <c r="B93" s="12">
        <v>2</v>
      </c>
      <c r="C93" s="12" t="s">
        <v>80</v>
      </c>
      <c r="D93" s="15" t="s">
        <v>0</v>
      </c>
      <c r="E93" s="15" t="s">
        <v>41</v>
      </c>
      <c r="F93" s="15" t="s">
        <v>68</v>
      </c>
    </row>
    <row r="94" spans="1:6" x14ac:dyDescent="0.3">
      <c r="A94" s="4">
        <v>4</v>
      </c>
      <c r="B94" s="7">
        <v>1</v>
      </c>
      <c r="C94" s="7" t="s">
        <v>81</v>
      </c>
      <c r="D94" s="4" t="s">
        <v>40</v>
      </c>
      <c r="E94" s="4" t="s">
        <v>10</v>
      </c>
      <c r="F94" s="4" t="s">
        <v>68</v>
      </c>
    </row>
    <row r="95" spans="1:6" x14ac:dyDescent="0.3">
      <c r="A95" s="15">
        <v>4</v>
      </c>
      <c r="B95" s="11">
        <v>1</v>
      </c>
      <c r="C95" s="11" t="s">
        <v>80</v>
      </c>
      <c r="D95" s="11" t="s">
        <v>29</v>
      </c>
      <c r="E95" s="15" t="s">
        <v>42</v>
      </c>
      <c r="F95" s="15" t="s">
        <v>66</v>
      </c>
    </row>
    <row r="96" spans="1:6" x14ac:dyDescent="0.3">
      <c r="A96" s="4">
        <v>4</v>
      </c>
      <c r="B96" s="7">
        <v>1</v>
      </c>
      <c r="C96" s="7" t="s">
        <v>81</v>
      </c>
      <c r="D96" s="4" t="s">
        <v>0</v>
      </c>
      <c r="E96" s="4" t="s">
        <v>41</v>
      </c>
      <c r="F96" s="4" t="s">
        <v>67</v>
      </c>
    </row>
    <row r="97" spans="1:6" x14ac:dyDescent="0.3">
      <c r="A97" s="15">
        <v>4</v>
      </c>
      <c r="B97" s="12">
        <v>1</v>
      </c>
      <c r="C97" s="12" t="s">
        <v>81</v>
      </c>
      <c r="D97" s="15" t="s">
        <v>40</v>
      </c>
      <c r="E97" s="15" t="s">
        <v>9</v>
      </c>
      <c r="F97" s="15" t="s">
        <v>67</v>
      </c>
    </row>
    <row r="98" spans="1:6" x14ac:dyDescent="0.3">
      <c r="A98" t="s">
        <v>25</v>
      </c>
    </row>
    <row r="99" spans="1:6" x14ac:dyDescent="0.3">
      <c r="A99" s="12">
        <v>1</v>
      </c>
      <c r="B99" s="15">
        <v>2</v>
      </c>
      <c r="C99" s="15" t="s">
        <v>80</v>
      </c>
      <c r="D99" s="15" t="s">
        <v>0</v>
      </c>
      <c r="E99" s="15" t="s">
        <v>41</v>
      </c>
      <c r="F99" s="15" t="s">
        <v>46</v>
      </c>
    </row>
    <row r="100" spans="1:6" x14ac:dyDescent="0.3">
      <c r="A100" s="7">
        <v>1</v>
      </c>
      <c r="B100" s="4">
        <v>2</v>
      </c>
      <c r="C100" s="15" t="s">
        <v>80</v>
      </c>
      <c r="D100" s="4" t="s">
        <v>40</v>
      </c>
      <c r="E100" s="4" t="s">
        <v>9</v>
      </c>
      <c r="F100" s="4" t="s">
        <v>46</v>
      </c>
    </row>
    <row r="101" spans="1:6" x14ac:dyDescent="0.3">
      <c r="A101" s="12">
        <v>1</v>
      </c>
      <c r="B101" s="14">
        <v>1</v>
      </c>
      <c r="C101" s="13" t="s">
        <v>81</v>
      </c>
      <c r="D101" s="8" t="s">
        <v>29</v>
      </c>
      <c r="E101" s="15" t="s">
        <v>42</v>
      </c>
      <c r="F101" s="15" t="s">
        <v>72</v>
      </c>
    </row>
    <row r="102" spans="1:6" x14ac:dyDescent="0.3">
      <c r="A102" s="7">
        <v>1</v>
      </c>
      <c r="B102" s="14">
        <v>1</v>
      </c>
      <c r="C102" s="14" t="s">
        <v>81</v>
      </c>
      <c r="D102" s="8" t="s">
        <v>29</v>
      </c>
      <c r="E102" s="4" t="s">
        <v>42</v>
      </c>
      <c r="F102" s="4" t="s">
        <v>67</v>
      </c>
    </row>
    <row r="103" spans="1:6" x14ac:dyDescent="0.3">
      <c r="A103" s="12">
        <v>1</v>
      </c>
      <c r="B103" s="15">
        <v>2</v>
      </c>
      <c r="C103" s="15" t="s">
        <v>80</v>
      </c>
      <c r="D103" s="15" t="s">
        <v>0</v>
      </c>
      <c r="E103" s="15" t="s">
        <v>41</v>
      </c>
      <c r="F103" s="15" t="s">
        <v>45</v>
      </c>
    </row>
    <row r="104" spans="1:6" x14ac:dyDescent="0.3">
      <c r="A104" s="7">
        <v>1</v>
      </c>
      <c r="B104" s="4">
        <v>2</v>
      </c>
      <c r="C104" s="15" t="s">
        <v>80</v>
      </c>
      <c r="D104" s="4" t="s">
        <v>40</v>
      </c>
      <c r="E104" s="4" t="s">
        <v>9</v>
      </c>
      <c r="F104" s="4" t="s">
        <v>45</v>
      </c>
    </row>
    <row r="105" spans="1:6" x14ac:dyDescent="0.3">
      <c r="A105" s="12">
        <v>1</v>
      </c>
      <c r="B105" s="15">
        <v>2</v>
      </c>
      <c r="C105" s="15" t="s">
        <v>80</v>
      </c>
      <c r="D105" s="15" t="s">
        <v>0</v>
      </c>
      <c r="E105" s="15" t="s">
        <v>41</v>
      </c>
      <c r="F105" s="15" t="s">
        <v>48</v>
      </c>
    </row>
    <row r="106" spans="1:6" x14ac:dyDescent="0.3">
      <c r="A106" s="7">
        <v>1</v>
      </c>
      <c r="B106" s="4">
        <v>1</v>
      </c>
      <c r="C106" s="4" t="s">
        <v>81</v>
      </c>
      <c r="D106" s="4" t="s">
        <v>40</v>
      </c>
      <c r="E106" s="4" t="s">
        <v>10</v>
      </c>
      <c r="F106" s="4" t="s">
        <v>48</v>
      </c>
    </row>
    <row r="107" spans="1:6" x14ac:dyDescent="0.3">
      <c r="A107" s="12">
        <v>1</v>
      </c>
      <c r="B107" s="14">
        <v>2</v>
      </c>
      <c r="C107" s="13" t="s">
        <v>80</v>
      </c>
      <c r="D107" s="8" t="s">
        <v>29</v>
      </c>
      <c r="E107" s="15" t="s">
        <v>42</v>
      </c>
      <c r="F107" s="15" t="s">
        <v>71</v>
      </c>
    </row>
    <row r="108" spans="1:6" x14ac:dyDescent="0.3">
      <c r="A108" s="7">
        <v>1</v>
      </c>
      <c r="B108" s="4">
        <v>1</v>
      </c>
      <c r="C108" s="4" t="s">
        <v>81</v>
      </c>
      <c r="D108" s="4" t="s">
        <v>0</v>
      </c>
      <c r="E108" s="4" t="s">
        <v>41</v>
      </c>
      <c r="F108" s="4" t="s">
        <v>44</v>
      </c>
    </row>
    <row r="109" spans="1:6" x14ac:dyDescent="0.3">
      <c r="A109" s="12">
        <v>1</v>
      </c>
      <c r="B109" s="15">
        <v>2</v>
      </c>
      <c r="C109" s="15" t="s">
        <v>80</v>
      </c>
      <c r="D109" s="15" t="s">
        <v>40</v>
      </c>
      <c r="E109" s="15" t="s">
        <v>10</v>
      </c>
      <c r="F109" s="15" t="s">
        <v>44</v>
      </c>
    </row>
    <row r="110" spans="1:6" x14ac:dyDescent="0.3">
      <c r="A110" s="7">
        <v>1</v>
      </c>
      <c r="B110" s="4">
        <v>2</v>
      </c>
      <c r="C110" s="4" t="s">
        <v>80</v>
      </c>
      <c r="D110" s="4" t="s">
        <v>0</v>
      </c>
      <c r="E110" s="4" t="s">
        <v>41</v>
      </c>
      <c r="F110" s="4" t="s">
        <v>43</v>
      </c>
    </row>
    <row r="111" spans="1:6" x14ac:dyDescent="0.3">
      <c r="A111" s="12">
        <v>1</v>
      </c>
      <c r="B111" s="15">
        <v>1</v>
      </c>
      <c r="C111" s="15" t="s">
        <v>81</v>
      </c>
      <c r="D111" s="15" t="s">
        <v>40</v>
      </c>
      <c r="E111" s="15" t="s">
        <v>10</v>
      </c>
      <c r="F111" s="15" t="s">
        <v>43</v>
      </c>
    </row>
    <row r="112" spans="1:6" x14ac:dyDescent="0.3">
      <c r="A112" s="7">
        <v>1</v>
      </c>
      <c r="B112" s="14">
        <v>2</v>
      </c>
      <c r="C112" s="14" t="s">
        <v>80</v>
      </c>
      <c r="D112" s="8" t="s">
        <v>29</v>
      </c>
      <c r="E112" s="4" t="s">
        <v>42</v>
      </c>
      <c r="F112" s="4" t="s">
        <v>73</v>
      </c>
    </row>
    <row r="113" spans="1:6" x14ac:dyDescent="0.3">
      <c r="A113" s="12">
        <v>1</v>
      </c>
      <c r="B113" s="15">
        <v>1</v>
      </c>
      <c r="C113" s="15" t="s">
        <v>81</v>
      </c>
      <c r="D113" s="15" t="s">
        <v>0</v>
      </c>
      <c r="E113" s="15" t="s">
        <v>41</v>
      </c>
      <c r="F113" s="15" t="s">
        <v>50</v>
      </c>
    </row>
    <row r="114" spans="1:6" x14ac:dyDescent="0.3">
      <c r="A114" s="7">
        <v>1</v>
      </c>
      <c r="B114" s="4">
        <v>1</v>
      </c>
      <c r="C114" s="15" t="s">
        <v>81</v>
      </c>
      <c r="D114" s="4" t="s">
        <v>40</v>
      </c>
      <c r="E114" s="4" t="s">
        <v>9</v>
      </c>
      <c r="F114" s="4" t="s">
        <v>50</v>
      </c>
    </row>
    <row r="115" spans="1:6" x14ac:dyDescent="0.3">
      <c r="A115" s="12">
        <v>1</v>
      </c>
      <c r="B115" s="14">
        <v>2</v>
      </c>
      <c r="C115" s="13" t="s">
        <v>80</v>
      </c>
      <c r="D115" s="8" t="s">
        <v>29</v>
      </c>
      <c r="E115" s="15" t="s">
        <v>42</v>
      </c>
      <c r="F115" s="15" t="s">
        <v>68</v>
      </c>
    </row>
    <row r="116" spans="1:6" x14ac:dyDescent="0.3">
      <c r="A116" s="7">
        <v>1</v>
      </c>
      <c r="B116" s="4">
        <v>1</v>
      </c>
      <c r="C116" s="4" t="s">
        <v>81</v>
      </c>
      <c r="D116" s="4" t="s">
        <v>0</v>
      </c>
      <c r="E116" s="4" t="s">
        <v>41</v>
      </c>
      <c r="F116" s="4" t="s">
        <v>47</v>
      </c>
    </row>
    <row r="117" spans="1:6" x14ac:dyDescent="0.3">
      <c r="A117" s="12">
        <v>1</v>
      </c>
      <c r="B117" s="15">
        <v>1</v>
      </c>
      <c r="C117" s="15" t="s">
        <v>81</v>
      </c>
      <c r="D117" s="15" t="s">
        <v>40</v>
      </c>
      <c r="E117" s="15" t="s">
        <v>9</v>
      </c>
      <c r="F117" s="15" t="s">
        <v>47</v>
      </c>
    </row>
    <row r="118" spans="1:6" x14ac:dyDescent="0.3">
      <c r="A118" s="7">
        <v>1</v>
      </c>
      <c r="B118" s="14">
        <v>1</v>
      </c>
      <c r="C118" s="14" t="s">
        <v>81</v>
      </c>
      <c r="D118" s="8" t="s">
        <v>29</v>
      </c>
      <c r="E118" s="4" t="s">
        <v>42</v>
      </c>
      <c r="F118" s="4" t="s">
        <v>74</v>
      </c>
    </row>
    <row r="119" spans="1:6" x14ac:dyDescent="0.3">
      <c r="A119" s="12">
        <v>1</v>
      </c>
      <c r="B119" s="14">
        <v>2</v>
      </c>
      <c r="C119" s="13" t="s">
        <v>80</v>
      </c>
      <c r="D119" s="8" t="s">
        <v>29</v>
      </c>
      <c r="E119" s="15" t="s">
        <v>42</v>
      </c>
      <c r="F119" s="15" t="s">
        <v>69</v>
      </c>
    </row>
    <row r="120" spans="1:6" x14ac:dyDescent="0.3">
      <c r="A120" s="7">
        <v>1</v>
      </c>
      <c r="B120" s="4">
        <v>1</v>
      </c>
      <c r="C120" s="4" t="s">
        <v>81</v>
      </c>
      <c r="D120" s="4" t="s">
        <v>0</v>
      </c>
      <c r="E120" s="4" t="s">
        <v>41</v>
      </c>
      <c r="F120" s="4" t="s">
        <v>49</v>
      </c>
    </row>
    <row r="121" spans="1:6" x14ac:dyDescent="0.3">
      <c r="A121" s="12">
        <v>1</v>
      </c>
      <c r="B121" s="15">
        <v>2</v>
      </c>
      <c r="C121" s="15" t="s">
        <v>80</v>
      </c>
      <c r="D121" s="15" t="s">
        <v>40</v>
      </c>
      <c r="E121" s="15" t="s">
        <v>10</v>
      </c>
      <c r="F121" s="15" t="s">
        <v>49</v>
      </c>
    </row>
    <row r="122" spans="1:6" x14ac:dyDescent="0.3">
      <c r="A122" s="7">
        <v>1</v>
      </c>
      <c r="B122" s="14">
        <v>1</v>
      </c>
      <c r="C122" s="14" t="s">
        <v>81</v>
      </c>
      <c r="D122" s="8" t="s">
        <v>29</v>
      </c>
      <c r="E122" s="4" t="s">
        <v>42</v>
      </c>
      <c r="F122" s="4" t="s">
        <v>70</v>
      </c>
    </row>
    <row r="123" spans="1:6" x14ac:dyDescent="0.3">
      <c r="A123" s="4">
        <v>2</v>
      </c>
      <c r="B123" s="4">
        <v>1</v>
      </c>
      <c r="C123" s="7" t="s">
        <v>81</v>
      </c>
      <c r="D123" s="4" t="s">
        <v>0</v>
      </c>
      <c r="E123" s="4" t="s">
        <v>41</v>
      </c>
      <c r="F123" s="4" t="s">
        <v>54</v>
      </c>
    </row>
    <row r="124" spans="1:6" x14ac:dyDescent="0.3">
      <c r="A124" s="15">
        <v>2</v>
      </c>
      <c r="B124" s="15">
        <v>1</v>
      </c>
      <c r="C124" s="12" t="s">
        <v>81</v>
      </c>
      <c r="D124" s="15" t="s">
        <v>40</v>
      </c>
      <c r="E124" s="15" t="s">
        <v>9</v>
      </c>
      <c r="F124" s="15" t="s">
        <v>54</v>
      </c>
    </row>
    <row r="125" spans="1:6" x14ac:dyDescent="0.3">
      <c r="A125" s="4">
        <v>2</v>
      </c>
      <c r="B125" s="9">
        <v>2</v>
      </c>
      <c r="C125" s="9" t="s">
        <v>80</v>
      </c>
      <c r="D125" s="9" t="s">
        <v>29</v>
      </c>
      <c r="E125" s="4" t="s">
        <v>42</v>
      </c>
      <c r="F125" s="4" t="s">
        <v>46</v>
      </c>
    </row>
    <row r="126" spans="1:6" x14ac:dyDescent="0.3">
      <c r="A126" s="15">
        <v>2</v>
      </c>
      <c r="B126" s="15">
        <v>1</v>
      </c>
      <c r="C126" s="15" t="s">
        <v>81</v>
      </c>
      <c r="D126" s="15" t="s">
        <v>0</v>
      </c>
      <c r="E126" s="15" t="s">
        <v>41</v>
      </c>
      <c r="F126" s="15" t="s">
        <v>56</v>
      </c>
    </row>
    <row r="127" spans="1:6" x14ac:dyDescent="0.3">
      <c r="A127" s="4">
        <v>2</v>
      </c>
      <c r="B127" s="4">
        <v>1</v>
      </c>
      <c r="C127" s="4" t="s">
        <v>81</v>
      </c>
      <c r="D127" s="4" t="s">
        <v>40</v>
      </c>
      <c r="E127" s="4" t="s">
        <v>9</v>
      </c>
      <c r="F127" s="4" t="s">
        <v>56</v>
      </c>
    </row>
    <row r="128" spans="1:6" x14ac:dyDescent="0.3">
      <c r="A128" s="15">
        <v>2</v>
      </c>
      <c r="B128" s="15">
        <v>1</v>
      </c>
      <c r="C128" s="15" t="s">
        <v>81</v>
      </c>
      <c r="D128" s="15" t="s">
        <v>0</v>
      </c>
      <c r="E128" s="15" t="s">
        <v>41</v>
      </c>
      <c r="F128" s="15" t="s">
        <v>58</v>
      </c>
    </row>
    <row r="129" spans="1:6" x14ac:dyDescent="0.3">
      <c r="A129" s="4">
        <v>2</v>
      </c>
      <c r="B129" s="4">
        <v>2</v>
      </c>
      <c r="C129" s="4" t="s">
        <v>80</v>
      </c>
      <c r="D129" s="4" t="s">
        <v>40</v>
      </c>
      <c r="E129" s="4" t="s">
        <v>10</v>
      </c>
      <c r="F129" s="4" t="s">
        <v>58</v>
      </c>
    </row>
    <row r="130" spans="1:6" x14ac:dyDescent="0.3">
      <c r="A130" s="15">
        <v>2</v>
      </c>
      <c r="B130" s="9">
        <v>2</v>
      </c>
      <c r="C130" s="9" t="s">
        <v>80</v>
      </c>
      <c r="D130" s="9" t="s">
        <v>29</v>
      </c>
      <c r="E130" s="15" t="s">
        <v>42</v>
      </c>
      <c r="F130" s="15" t="s">
        <v>45</v>
      </c>
    </row>
    <row r="131" spans="1:6" x14ac:dyDescent="0.3">
      <c r="A131" s="4">
        <v>2</v>
      </c>
      <c r="B131" s="4">
        <v>2</v>
      </c>
      <c r="C131" s="4" t="s">
        <v>80</v>
      </c>
      <c r="D131" s="4" t="s">
        <v>0</v>
      </c>
      <c r="E131" s="4" t="s">
        <v>41</v>
      </c>
      <c r="F131" s="4" t="s">
        <v>52</v>
      </c>
    </row>
    <row r="132" spans="1:6" x14ac:dyDescent="0.3">
      <c r="A132" s="15">
        <v>2</v>
      </c>
      <c r="B132" s="15">
        <v>1</v>
      </c>
      <c r="C132" s="15" t="s">
        <v>81</v>
      </c>
      <c r="D132" s="15" t="s">
        <v>40</v>
      </c>
      <c r="E132" s="15" t="s">
        <v>10</v>
      </c>
      <c r="F132" s="15" t="s">
        <v>52</v>
      </c>
    </row>
    <row r="133" spans="1:6" x14ac:dyDescent="0.3">
      <c r="A133" s="4">
        <v>2</v>
      </c>
      <c r="B133" s="4">
        <v>1</v>
      </c>
      <c r="C133" s="4" t="s">
        <v>81</v>
      </c>
      <c r="D133" s="4" t="s">
        <v>0</v>
      </c>
      <c r="E133" s="4" t="s">
        <v>41</v>
      </c>
      <c r="F133" s="4" t="s">
        <v>57</v>
      </c>
    </row>
    <row r="134" spans="1:6" x14ac:dyDescent="0.3">
      <c r="A134" s="15">
        <v>2</v>
      </c>
      <c r="B134" s="15">
        <v>2</v>
      </c>
      <c r="C134" s="15" t="s">
        <v>80</v>
      </c>
      <c r="D134" s="15" t="s">
        <v>40</v>
      </c>
      <c r="E134" s="15" t="s">
        <v>10</v>
      </c>
      <c r="F134" s="15" t="s">
        <v>57</v>
      </c>
    </row>
    <row r="135" spans="1:6" x14ac:dyDescent="0.3">
      <c r="A135" s="4">
        <v>2</v>
      </c>
      <c r="B135" s="9">
        <v>1</v>
      </c>
      <c r="C135" s="9" t="s">
        <v>81</v>
      </c>
      <c r="D135" s="9" t="s">
        <v>29</v>
      </c>
      <c r="E135" s="4" t="s">
        <v>42</v>
      </c>
      <c r="F135" s="4" t="s">
        <v>48</v>
      </c>
    </row>
    <row r="136" spans="1:6" x14ac:dyDescent="0.3">
      <c r="A136" s="15">
        <v>2</v>
      </c>
      <c r="B136" s="9">
        <v>1</v>
      </c>
      <c r="C136" s="9" t="s">
        <v>81</v>
      </c>
      <c r="D136" s="9" t="s">
        <v>29</v>
      </c>
      <c r="E136" s="15" t="s">
        <v>42</v>
      </c>
      <c r="F136" s="15" t="s">
        <v>44</v>
      </c>
    </row>
    <row r="137" spans="1:6" x14ac:dyDescent="0.3">
      <c r="A137" s="4">
        <v>2</v>
      </c>
      <c r="B137" s="4">
        <v>2</v>
      </c>
      <c r="C137" s="4" t="s">
        <v>80</v>
      </c>
      <c r="D137" s="4" t="s">
        <v>0</v>
      </c>
      <c r="E137" s="4" t="s">
        <v>41</v>
      </c>
      <c r="F137" s="4" t="s">
        <v>55</v>
      </c>
    </row>
    <row r="138" spans="1:6" x14ac:dyDescent="0.3">
      <c r="A138" s="15">
        <v>2</v>
      </c>
      <c r="B138" s="15">
        <v>2</v>
      </c>
      <c r="C138" s="15" t="s">
        <v>80</v>
      </c>
      <c r="D138" s="15" t="s">
        <v>40</v>
      </c>
      <c r="E138" s="15" t="s">
        <v>9</v>
      </c>
      <c r="F138" s="15" t="s">
        <v>55</v>
      </c>
    </row>
    <row r="139" spans="1:6" x14ac:dyDescent="0.3">
      <c r="A139" s="4">
        <v>2</v>
      </c>
      <c r="B139" s="9">
        <v>1</v>
      </c>
      <c r="C139" s="9" t="s">
        <v>81</v>
      </c>
      <c r="D139" s="9" t="s">
        <v>29</v>
      </c>
      <c r="E139" s="4" t="s">
        <v>42</v>
      </c>
      <c r="F139" s="4" t="s">
        <v>43</v>
      </c>
    </row>
    <row r="140" spans="1:6" x14ac:dyDescent="0.3">
      <c r="A140" s="15">
        <v>2</v>
      </c>
      <c r="B140" s="15">
        <v>2</v>
      </c>
      <c r="C140" s="15" t="s">
        <v>80</v>
      </c>
      <c r="D140" s="15" t="s">
        <v>0</v>
      </c>
      <c r="E140" s="15" t="s">
        <v>41</v>
      </c>
      <c r="F140" s="15" t="s">
        <v>51</v>
      </c>
    </row>
    <row r="141" spans="1:6" x14ac:dyDescent="0.3">
      <c r="A141" s="4">
        <v>2</v>
      </c>
      <c r="B141" s="4">
        <v>2</v>
      </c>
      <c r="C141" s="4" t="s">
        <v>80</v>
      </c>
      <c r="D141" s="4" t="s">
        <v>40</v>
      </c>
      <c r="E141" s="4" t="s">
        <v>9</v>
      </c>
      <c r="F141" s="4" t="s">
        <v>51</v>
      </c>
    </row>
    <row r="142" spans="1:6" x14ac:dyDescent="0.3">
      <c r="A142" s="15">
        <v>2</v>
      </c>
      <c r="B142" s="9">
        <v>2</v>
      </c>
      <c r="C142" s="9" t="s">
        <v>80</v>
      </c>
      <c r="D142" s="9" t="s">
        <v>29</v>
      </c>
      <c r="E142" s="15" t="s">
        <v>42</v>
      </c>
      <c r="F142" s="15" t="s">
        <v>50</v>
      </c>
    </row>
    <row r="143" spans="1:6" x14ac:dyDescent="0.3">
      <c r="A143" s="4">
        <v>2</v>
      </c>
      <c r="B143" s="9">
        <v>1</v>
      </c>
      <c r="C143" s="9" t="s">
        <v>81</v>
      </c>
      <c r="D143" s="9" t="s">
        <v>29</v>
      </c>
      <c r="E143" s="4" t="s">
        <v>42</v>
      </c>
      <c r="F143" s="4" t="s">
        <v>47</v>
      </c>
    </row>
    <row r="144" spans="1:6" x14ac:dyDescent="0.3">
      <c r="A144" s="15">
        <v>2</v>
      </c>
      <c r="B144" s="9">
        <v>2</v>
      </c>
      <c r="C144" s="9" t="s">
        <v>80</v>
      </c>
      <c r="D144" s="9" t="s">
        <v>29</v>
      </c>
      <c r="E144" s="15" t="s">
        <v>42</v>
      </c>
      <c r="F144" s="15" t="s">
        <v>49</v>
      </c>
    </row>
    <row r="145" spans="1:9" x14ac:dyDescent="0.3">
      <c r="A145" s="4">
        <v>2</v>
      </c>
      <c r="B145" s="4">
        <v>2</v>
      </c>
      <c r="C145" s="4" t="s">
        <v>80</v>
      </c>
      <c r="D145" s="4" t="s">
        <v>0</v>
      </c>
      <c r="E145" s="4" t="s">
        <v>41</v>
      </c>
      <c r="F145" s="4" t="s">
        <v>53</v>
      </c>
    </row>
    <row r="146" spans="1:9" x14ac:dyDescent="0.3">
      <c r="A146" s="15">
        <v>2</v>
      </c>
      <c r="B146" s="15">
        <v>1</v>
      </c>
      <c r="C146" s="15" t="s">
        <v>81</v>
      </c>
      <c r="D146" s="15" t="s">
        <v>40</v>
      </c>
      <c r="E146" s="15" t="s">
        <v>10</v>
      </c>
      <c r="F146" s="15" t="s">
        <v>53</v>
      </c>
    </row>
    <row r="147" spans="1:9" x14ac:dyDescent="0.3">
      <c r="A147" s="12">
        <v>3</v>
      </c>
      <c r="B147" s="10">
        <v>2</v>
      </c>
      <c r="C147" s="10" t="s">
        <v>80</v>
      </c>
      <c r="D147" s="10" t="s">
        <v>29</v>
      </c>
      <c r="E147" s="15" t="s">
        <v>42</v>
      </c>
      <c r="F147" s="15" t="s">
        <v>54</v>
      </c>
    </row>
    <row r="148" spans="1:9" x14ac:dyDescent="0.3">
      <c r="A148" s="7">
        <v>3</v>
      </c>
      <c r="B148" s="4">
        <v>1</v>
      </c>
      <c r="C148" s="4" t="s">
        <v>81</v>
      </c>
      <c r="D148" s="4" t="s">
        <v>0</v>
      </c>
      <c r="E148" s="4" t="s">
        <v>41</v>
      </c>
      <c r="F148" s="4" t="s">
        <v>64</v>
      </c>
    </row>
    <row r="149" spans="1:9" x14ac:dyDescent="0.3">
      <c r="A149" s="12">
        <v>3</v>
      </c>
      <c r="B149" s="15">
        <v>2</v>
      </c>
      <c r="C149" s="15" t="s">
        <v>80</v>
      </c>
      <c r="D149" s="15" t="s">
        <v>40</v>
      </c>
      <c r="E149" s="15" t="s">
        <v>10</v>
      </c>
      <c r="F149" s="15" t="s">
        <v>64</v>
      </c>
    </row>
    <row r="150" spans="1:9" x14ac:dyDescent="0.3">
      <c r="A150" s="7">
        <v>3</v>
      </c>
      <c r="B150" s="10">
        <v>2</v>
      </c>
      <c r="C150" s="10" t="s">
        <v>80</v>
      </c>
      <c r="D150" s="10" t="s">
        <v>29</v>
      </c>
      <c r="E150" s="4" t="s">
        <v>42</v>
      </c>
      <c r="F150" s="4" t="s">
        <v>56</v>
      </c>
    </row>
    <row r="151" spans="1:9" x14ac:dyDescent="0.3">
      <c r="A151" s="12">
        <v>3</v>
      </c>
      <c r="B151" s="15">
        <v>2</v>
      </c>
      <c r="C151" s="15" t="s">
        <v>80</v>
      </c>
      <c r="D151" s="15" t="s">
        <v>0</v>
      </c>
      <c r="E151" s="15" t="s">
        <v>41</v>
      </c>
      <c r="F151" s="15" t="s">
        <v>62</v>
      </c>
    </row>
    <row r="152" spans="1:9" x14ac:dyDescent="0.3">
      <c r="A152" s="7">
        <v>3</v>
      </c>
      <c r="B152" s="4">
        <v>1</v>
      </c>
      <c r="C152" s="4" t="s">
        <v>81</v>
      </c>
      <c r="D152" s="4" t="s">
        <v>40</v>
      </c>
      <c r="E152" s="4" t="s">
        <v>10</v>
      </c>
      <c r="F152" s="4" t="s">
        <v>62</v>
      </c>
    </row>
    <row r="153" spans="1:9" x14ac:dyDescent="0.3">
      <c r="A153" s="12">
        <v>3</v>
      </c>
      <c r="B153" s="15">
        <v>1</v>
      </c>
      <c r="C153" s="15" t="s">
        <v>81</v>
      </c>
      <c r="D153" s="15" t="s">
        <v>0</v>
      </c>
      <c r="E153" s="15" t="s">
        <v>41</v>
      </c>
      <c r="F153" s="15" t="s">
        <v>66</v>
      </c>
    </row>
    <row r="154" spans="1:9" x14ac:dyDescent="0.3">
      <c r="A154" s="7">
        <v>3</v>
      </c>
      <c r="B154" s="4">
        <v>2</v>
      </c>
      <c r="C154" s="4" t="s">
        <v>80</v>
      </c>
      <c r="D154" s="4" t="s">
        <v>40</v>
      </c>
      <c r="E154" s="4" t="s">
        <v>10</v>
      </c>
      <c r="F154" s="4" t="s">
        <v>66</v>
      </c>
    </row>
    <row r="155" spans="1:9" x14ac:dyDescent="0.3">
      <c r="A155" s="12">
        <v>3</v>
      </c>
      <c r="B155" s="10">
        <v>1</v>
      </c>
      <c r="C155" s="10" t="s">
        <v>81</v>
      </c>
      <c r="D155" s="10" t="s">
        <v>29</v>
      </c>
      <c r="E155" s="15" t="s">
        <v>42</v>
      </c>
      <c r="F155" s="15" t="s">
        <v>58</v>
      </c>
    </row>
    <row r="156" spans="1:9" x14ac:dyDescent="0.3">
      <c r="A156" s="7">
        <v>3</v>
      </c>
      <c r="B156" s="4">
        <v>2</v>
      </c>
      <c r="C156" s="4" t="s">
        <v>80</v>
      </c>
      <c r="D156" s="4" t="s">
        <v>0</v>
      </c>
      <c r="E156" s="4" t="s">
        <v>41</v>
      </c>
      <c r="F156" s="4" t="s">
        <v>65</v>
      </c>
    </row>
    <row r="157" spans="1:9" x14ac:dyDescent="0.3">
      <c r="A157" s="12">
        <v>3</v>
      </c>
      <c r="B157" s="15">
        <v>2</v>
      </c>
      <c r="C157" s="15" t="s">
        <v>80</v>
      </c>
      <c r="D157" s="15" t="s">
        <v>40</v>
      </c>
      <c r="E157" s="15" t="s">
        <v>9</v>
      </c>
      <c r="F157" s="15" t="s">
        <v>65</v>
      </c>
      <c r="I157" t="s">
        <v>19</v>
      </c>
    </row>
    <row r="158" spans="1:9" x14ac:dyDescent="0.3">
      <c r="A158" s="7">
        <v>3</v>
      </c>
      <c r="B158" s="10">
        <v>1</v>
      </c>
      <c r="C158" s="10" t="s">
        <v>81</v>
      </c>
      <c r="D158" s="10" t="s">
        <v>29</v>
      </c>
      <c r="E158" s="4" t="s">
        <v>42</v>
      </c>
      <c r="F158" s="4" t="s">
        <v>52</v>
      </c>
    </row>
    <row r="159" spans="1:9" x14ac:dyDescent="0.3">
      <c r="A159" s="12">
        <v>3</v>
      </c>
      <c r="B159" s="10">
        <v>1</v>
      </c>
      <c r="C159" s="10" t="s">
        <v>81</v>
      </c>
      <c r="D159" s="10" t="s">
        <v>29</v>
      </c>
      <c r="E159" s="15" t="s">
        <v>42</v>
      </c>
      <c r="F159" s="15" t="s">
        <v>57</v>
      </c>
    </row>
    <row r="160" spans="1:9" x14ac:dyDescent="0.3">
      <c r="A160" s="7">
        <v>3</v>
      </c>
      <c r="B160" s="4">
        <v>2</v>
      </c>
      <c r="C160" s="4" t="s">
        <v>80</v>
      </c>
      <c r="D160" s="4" t="s">
        <v>0</v>
      </c>
      <c r="E160" s="4" t="s">
        <v>41</v>
      </c>
      <c r="F160" s="4" t="s">
        <v>59</v>
      </c>
    </row>
    <row r="161" spans="1:6" x14ac:dyDescent="0.3">
      <c r="A161" s="12">
        <v>3</v>
      </c>
      <c r="B161" s="15">
        <v>2</v>
      </c>
      <c r="C161" s="15" t="s">
        <v>80</v>
      </c>
      <c r="D161" s="15" t="s">
        <v>40</v>
      </c>
      <c r="E161" s="15" t="s">
        <v>9</v>
      </c>
      <c r="F161" s="15" t="s">
        <v>59</v>
      </c>
    </row>
    <row r="162" spans="1:6" x14ac:dyDescent="0.3">
      <c r="A162" s="7">
        <v>3</v>
      </c>
      <c r="B162" s="4">
        <v>2</v>
      </c>
      <c r="C162" s="4" t="s">
        <v>80</v>
      </c>
      <c r="D162" s="4" t="s">
        <v>0</v>
      </c>
      <c r="E162" s="4" t="s">
        <v>41</v>
      </c>
      <c r="F162" s="4" t="s">
        <v>61</v>
      </c>
    </row>
    <row r="163" spans="1:6" x14ac:dyDescent="0.3">
      <c r="A163" s="12">
        <v>3</v>
      </c>
      <c r="B163" s="15">
        <v>1</v>
      </c>
      <c r="C163" s="15" t="s">
        <v>81</v>
      </c>
      <c r="D163" s="15" t="s">
        <v>40</v>
      </c>
      <c r="E163" s="15" t="s">
        <v>10</v>
      </c>
      <c r="F163" s="15" t="s">
        <v>61</v>
      </c>
    </row>
    <row r="164" spans="1:6" x14ac:dyDescent="0.3">
      <c r="A164" s="7">
        <v>3</v>
      </c>
      <c r="B164" s="10">
        <v>2</v>
      </c>
      <c r="C164" s="10" t="s">
        <v>80</v>
      </c>
      <c r="D164" s="10" t="s">
        <v>29</v>
      </c>
      <c r="E164" s="4" t="s">
        <v>42</v>
      </c>
      <c r="F164" s="4" t="s">
        <v>55</v>
      </c>
    </row>
    <row r="165" spans="1:6" x14ac:dyDescent="0.3">
      <c r="A165" s="12">
        <v>3</v>
      </c>
      <c r="B165" s="15">
        <v>1</v>
      </c>
      <c r="C165" s="15" t="s">
        <v>81</v>
      </c>
      <c r="D165" s="15" t="s">
        <v>0</v>
      </c>
      <c r="E165" s="15" t="s">
        <v>41</v>
      </c>
      <c r="F165" s="15" t="s">
        <v>63</v>
      </c>
    </row>
    <row r="166" spans="1:6" x14ac:dyDescent="0.3">
      <c r="A166" s="7">
        <v>3</v>
      </c>
      <c r="B166" s="4">
        <v>1</v>
      </c>
      <c r="C166" s="4" t="s">
        <v>81</v>
      </c>
      <c r="D166" s="4" t="s">
        <v>40</v>
      </c>
      <c r="E166" s="4" t="s">
        <v>9</v>
      </c>
      <c r="F166" s="4" t="s">
        <v>63</v>
      </c>
    </row>
    <row r="167" spans="1:6" x14ac:dyDescent="0.3">
      <c r="A167" s="12">
        <v>3</v>
      </c>
      <c r="B167" s="10">
        <v>2</v>
      </c>
      <c r="C167" s="10" t="s">
        <v>80</v>
      </c>
      <c r="D167" s="10" t="s">
        <v>29</v>
      </c>
      <c r="E167" s="15" t="s">
        <v>42</v>
      </c>
      <c r="F167" s="15" t="s">
        <v>51</v>
      </c>
    </row>
    <row r="168" spans="1:6" x14ac:dyDescent="0.3">
      <c r="A168" s="7">
        <v>3</v>
      </c>
      <c r="B168" s="4">
        <v>1</v>
      </c>
      <c r="C168" s="4" t="s">
        <v>81</v>
      </c>
      <c r="D168" s="4" t="s">
        <v>0</v>
      </c>
      <c r="E168" s="4" t="s">
        <v>41</v>
      </c>
      <c r="F168" s="4" t="s">
        <v>60</v>
      </c>
    </row>
    <row r="169" spans="1:6" x14ac:dyDescent="0.3">
      <c r="A169" s="12">
        <v>3</v>
      </c>
      <c r="B169" s="15">
        <v>1</v>
      </c>
      <c r="C169" s="15" t="s">
        <v>81</v>
      </c>
      <c r="D169" s="15" t="s">
        <v>40</v>
      </c>
      <c r="E169" s="15" t="s">
        <v>9</v>
      </c>
      <c r="F169" s="15" t="s">
        <v>60</v>
      </c>
    </row>
    <row r="170" spans="1:6" x14ac:dyDescent="0.3">
      <c r="A170" s="7">
        <v>3</v>
      </c>
      <c r="B170" s="10">
        <v>1</v>
      </c>
      <c r="C170" s="10" t="s">
        <v>81</v>
      </c>
      <c r="D170" s="10" t="s">
        <v>29</v>
      </c>
      <c r="E170" s="4" t="s">
        <v>42</v>
      </c>
      <c r="F170" s="4" t="s">
        <v>53</v>
      </c>
    </row>
    <row r="171" spans="1:6" x14ac:dyDescent="0.3">
      <c r="A171" s="4">
        <v>4</v>
      </c>
      <c r="B171" s="11">
        <v>2</v>
      </c>
      <c r="C171" s="11" t="s">
        <v>80</v>
      </c>
      <c r="D171" s="11" t="s">
        <v>29</v>
      </c>
      <c r="E171" s="4" t="s">
        <v>42</v>
      </c>
      <c r="F171" s="4" t="s">
        <v>64</v>
      </c>
    </row>
    <row r="172" spans="1:6" x14ac:dyDescent="0.3">
      <c r="A172" s="15">
        <v>4</v>
      </c>
      <c r="B172" s="15">
        <v>1</v>
      </c>
      <c r="C172" s="15" t="s">
        <v>81</v>
      </c>
      <c r="D172" s="15" t="s">
        <v>0</v>
      </c>
      <c r="E172" s="15" t="s">
        <v>41</v>
      </c>
      <c r="F172" s="15" t="s">
        <v>72</v>
      </c>
    </row>
    <row r="173" spans="1:6" x14ac:dyDescent="0.3">
      <c r="A173" s="4">
        <v>4</v>
      </c>
      <c r="B173" s="4">
        <v>1</v>
      </c>
      <c r="C173" s="4" t="s">
        <v>81</v>
      </c>
      <c r="D173" s="4" t="s">
        <v>40</v>
      </c>
      <c r="E173" s="4" t="s">
        <v>9</v>
      </c>
      <c r="F173" s="4" t="s">
        <v>72</v>
      </c>
    </row>
    <row r="174" spans="1:6" x14ac:dyDescent="0.3">
      <c r="A174" s="15">
        <v>4</v>
      </c>
      <c r="B174" s="15">
        <v>1</v>
      </c>
      <c r="C174" s="15" t="s">
        <v>81</v>
      </c>
      <c r="D174" s="15" t="s">
        <v>0</v>
      </c>
      <c r="E174" s="15" t="s">
        <v>41</v>
      </c>
      <c r="F174" s="15" t="s">
        <v>67</v>
      </c>
    </row>
    <row r="175" spans="1:6" x14ac:dyDescent="0.3">
      <c r="A175" s="4">
        <v>4</v>
      </c>
      <c r="B175" s="4">
        <v>2</v>
      </c>
      <c r="C175" s="4" t="s">
        <v>80</v>
      </c>
      <c r="D175" s="4" t="s">
        <v>40</v>
      </c>
      <c r="E175" s="4" t="s">
        <v>10</v>
      </c>
      <c r="F175" s="4" t="s">
        <v>67</v>
      </c>
    </row>
    <row r="176" spans="1:6" x14ac:dyDescent="0.3">
      <c r="A176" s="15">
        <v>4</v>
      </c>
      <c r="B176" s="11">
        <v>1</v>
      </c>
      <c r="C176" s="11" t="s">
        <v>81</v>
      </c>
      <c r="D176" s="11" t="s">
        <v>29</v>
      </c>
      <c r="E176" s="15" t="s">
        <v>42</v>
      </c>
      <c r="F176" s="15" t="s">
        <v>62</v>
      </c>
    </row>
    <row r="177" spans="1:6" x14ac:dyDescent="0.3">
      <c r="A177" s="4">
        <v>4</v>
      </c>
      <c r="B177" s="4">
        <v>2</v>
      </c>
      <c r="C177" s="4" t="s">
        <v>80</v>
      </c>
      <c r="D177" s="4" t="s">
        <v>0</v>
      </c>
      <c r="E177" s="4" t="s">
        <v>41</v>
      </c>
      <c r="F177" s="4" t="s">
        <v>71</v>
      </c>
    </row>
    <row r="178" spans="1:6" x14ac:dyDescent="0.3">
      <c r="A178" s="15">
        <v>4</v>
      </c>
      <c r="B178" s="15">
        <v>2</v>
      </c>
      <c r="C178" s="15" t="s">
        <v>80</v>
      </c>
      <c r="D178" s="15" t="s">
        <v>40</v>
      </c>
      <c r="E178" s="15" t="s">
        <v>9</v>
      </c>
      <c r="F178" s="15" t="s">
        <v>71</v>
      </c>
    </row>
    <row r="179" spans="1:6" x14ac:dyDescent="0.3">
      <c r="A179" s="4">
        <v>4</v>
      </c>
      <c r="B179" s="4">
        <v>2</v>
      </c>
      <c r="C179" s="4" t="s">
        <v>80</v>
      </c>
      <c r="D179" s="4" t="s">
        <v>0</v>
      </c>
      <c r="E179" s="4" t="s">
        <v>41</v>
      </c>
      <c r="F179" s="4" t="s">
        <v>73</v>
      </c>
    </row>
    <row r="180" spans="1:6" x14ac:dyDescent="0.3">
      <c r="A180" s="15">
        <v>4</v>
      </c>
      <c r="B180" s="15">
        <v>1</v>
      </c>
      <c r="C180" s="15" t="s">
        <v>81</v>
      </c>
      <c r="D180" s="15" t="s">
        <v>40</v>
      </c>
      <c r="E180" s="15" t="s">
        <v>10</v>
      </c>
      <c r="F180" s="15" t="s">
        <v>73</v>
      </c>
    </row>
    <row r="181" spans="1:6" x14ac:dyDescent="0.3">
      <c r="A181" s="4">
        <v>4</v>
      </c>
      <c r="B181" s="11">
        <v>2</v>
      </c>
      <c r="C181" s="11" t="s">
        <v>80</v>
      </c>
      <c r="D181" s="11" t="s">
        <v>29</v>
      </c>
      <c r="E181" s="4" t="s">
        <v>42</v>
      </c>
      <c r="F181" s="4" t="s">
        <v>66</v>
      </c>
    </row>
    <row r="182" spans="1:6" x14ac:dyDescent="0.3">
      <c r="A182" s="15">
        <v>4</v>
      </c>
      <c r="B182" s="11">
        <v>1</v>
      </c>
      <c r="C182" s="11" t="s">
        <v>81</v>
      </c>
      <c r="D182" s="11" t="s">
        <v>29</v>
      </c>
      <c r="E182" s="15" t="s">
        <v>42</v>
      </c>
      <c r="F182" s="15" t="s">
        <v>65</v>
      </c>
    </row>
    <row r="183" spans="1:6" x14ac:dyDescent="0.3">
      <c r="A183" s="4">
        <v>4</v>
      </c>
      <c r="B183" s="11">
        <v>2</v>
      </c>
      <c r="C183" s="11" t="s">
        <v>80</v>
      </c>
      <c r="D183" s="11" t="s">
        <v>29</v>
      </c>
      <c r="E183" s="4" t="s">
        <v>42</v>
      </c>
      <c r="F183" s="4" t="s">
        <v>59</v>
      </c>
    </row>
    <row r="184" spans="1:6" x14ac:dyDescent="0.3">
      <c r="A184" s="15">
        <v>4</v>
      </c>
      <c r="B184" s="15">
        <v>1</v>
      </c>
      <c r="C184" s="15" t="s">
        <v>81</v>
      </c>
      <c r="D184" s="15" t="s">
        <v>0</v>
      </c>
      <c r="E184" s="15" t="s">
        <v>41</v>
      </c>
      <c r="F184" s="15" t="s">
        <v>68</v>
      </c>
    </row>
    <row r="185" spans="1:6" x14ac:dyDescent="0.3">
      <c r="A185" s="4">
        <v>4</v>
      </c>
      <c r="B185" s="4">
        <v>2</v>
      </c>
      <c r="C185" s="4" t="s">
        <v>80</v>
      </c>
      <c r="D185" s="4" t="s">
        <v>40</v>
      </c>
      <c r="E185" s="4" t="s">
        <v>10</v>
      </c>
      <c r="F185" s="4" t="s">
        <v>68</v>
      </c>
    </row>
    <row r="186" spans="1:6" x14ac:dyDescent="0.3">
      <c r="A186" s="15">
        <v>4</v>
      </c>
      <c r="B186" s="15">
        <v>2</v>
      </c>
      <c r="C186" s="15" t="s">
        <v>80</v>
      </c>
      <c r="D186" s="15" t="s">
        <v>0</v>
      </c>
      <c r="E186" s="15" t="s">
        <v>41</v>
      </c>
      <c r="F186" s="15" t="s">
        <v>74</v>
      </c>
    </row>
    <row r="187" spans="1:6" x14ac:dyDescent="0.3">
      <c r="A187" s="4">
        <v>4</v>
      </c>
      <c r="B187" s="4">
        <v>2</v>
      </c>
      <c r="C187" s="4" t="s">
        <v>80</v>
      </c>
      <c r="D187" s="4" t="s">
        <v>40</v>
      </c>
      <c r="E187" s="4" t="s">
        <v>9</v>
      </c>
      <c r="F187" s="4" t="s">
        <v>74</v>
      </c>
    </row>
    <row r="188" spans="1:6" x14ac:dyDescent="0.3">
      <c r="A188" s="15">
        <v>4</v>
      </c>
      <c r="B188" s="11">
        <v>1</v>
      </c>
      <c r="C188" s="11" t="s">
        <v>81</v>
      </c>
      <c r="D188" s="11" t="s">
        <v>29</v>
      </c>
      <c r="E188" s="15" t="s">
        <v>42</v>
      </c>
      <c r="F188" s="15" t="s">
        <v>61</v>
      </c>
    </row>
    <row r="189" spans="1:6" x14ac:dyDescent="0.3">
      <c r="A189" s="4">
        <v>4</v>
      </c>
      <c r="B189" s="4">
        <v>2</v>
      </c>
      <c r="C189" s="4" t="s">
        <v>80</v>
      </c>
      <c r="D189" s="4" t="s">
        <v>0</v>
      </c>
      <c r="E189" s="4" t="s">
        <v>41</v>
      </c>
      <c r="F189" s="4" t="s">
        <v>69</v>
      </c>
    </row>
    <row r="190" spans="1:6" x14ac:dyDescent="0.3">
      <c r="A190" s="15">
        <v>4</v>
      </c>
      <c r="B190" s="15">
        <v>1</v>
      </c>
      <c r="C190" s="15" t="s">
        <v>81</v>
      </c>
      <c r="D190" s="15" t="s">
        <v>40</v>
      </c>
      <c r="E190" s="15" t="s">
        <v>10</v>
      </c>
      <c r="F190" s="15" t="s">
        <v>69</v>
      </c>
    </row>
    <row r="191" spans="1:6" x14ac:dyDescent="0.3">
      <c r="A191" s="4">
        <v>4</v>
      </c>
      <c r="B191" s="4">
        <v>1</v>
      </c>
      <c r="C191" s="4" t="s">
        <v>81</v>
      </c>
      <c r="D191" s="4" t="s">
        <v>0</v>
      </c>
      <c r="E191" s="4" t="s">
        <v>41</v>
      </c>
      <c r="F191" s="4" t="s">
        <v>70</v>
      </c>
    </row>
    <row r="192" spans="1:6" x14ac:dyDescent="0.3">
      <c r="A192" s="15">
        <v>4</v>
      </c>
      <c r="B192" s="15">
        <v>1</v>
      </c>
      <c r="C192" s="15" t="s">
        <v>81</v>
      </c>
      <c r="D192" s="15" t="s">
        <v>40</v>
      </c>
      <c r="E192" s="15" t="s">
        <v>9</v>
      </c>
      <c r="F192" s="15" t="s">
        <v>70</v>
      </c>
    </row>
    <row r="193" spans="1:6" x14ac:dyDescent="0.3">
      <c r="A193" s="4">
        <v>4</v>
      </c>
      <c r="B193" s="11">
        <v>2</v>
      </c>
      <c r="C193" s="11" t="s">
        <v>80</v>
      </c>
      <c r="D193" s="11" t="s">
        <v>29</v>
      </c>
      <c r="E193" s="4" t="s">
        <v>42</v>
      </c>
      <c r="F193" s="4" t="s">
        <v>63</v>
      </c>
    </row>
    <row r="194" spans="1:6" x14ac:dyDescent="0.3">
      <c r="A194" s="15">
        <v>4</v>
      </c>
      <c r="B194" s="11">
        <v>1</v>
      </c>
      <c r="C194" s="11" t="s">
        <v>81</v>
      </c>
      <c r="D194" s="11" t="s">
        <v>29</v>
      </c>
      <c r="E194" s="15" t="s">
        <v>42</v>
      </c>
      <c r="F194" s="15" t="s">
        <v>60</v>
      </c>
    </row>
    <row r="195" spans="1:6" x14ac:dyDescent="0.3">
      <c r="A195" t="s">
        <v>25</v>
      </c>
    </row>
    <row r="196" spans="1:6" x14ac:dyDescent="0.3">
      <c r="A196" s="12">
        <v>1</v>
      </c>
      <c r="B196" s="14">
        <v>2</v>
      </c>
      <c r="C196" s="13" t="s">
        <v>80</v>
      </c>
      <c r="D196" s="8" t="s">
        <v>29</v>
      </c>
      <c r="E196" s="15" t="s">
        <v>42</v>
      </c>
      <c r="F196" s="15" t="s">
        <v>71</v>
      </c>
    </row>
    <row r="197" spans="1:6" x14ac:dyDescent="0.3">
      <c r="A197" s="7">
        <v>1</v>
      </c>
      <c r="B197" s="7">
        <v>2</v>
      </c>
      <c r="C197" s="7" t="s">
        <v>80</v>
      </c>
      <c r="D197" s="4" t="s">
        <v>0</v>
      </c>
      <c r="E197" s="4" t="s">
        <v>41</v>
      </c>
      <c r="F197" s="4" t="s">
        <v>49</v>
      </c>
    </row>
    <row r="198" spans="1:6" x14ac:dyDescent="0.3">
      <c r="A198" s="12">
        <v>1</v>
      </c>
      <c r="B198" s="12">
        <v>2</v>
      </c>
      <c r="C198" s="12" t="s">
        <v>80</v>
      </c>
      <c r="D198" s="15" t="s">
        <v>40</v>
      </c>
      <c r="E198" s="15" t="s">
        <v>9</v>
      </c>
      <c r="F198" s="15" t="s">
        <v>49</v>
      </c>
    </row>
    <row r="199" spans="1:6" x14ac:dyDescent="0.3">
      <c r="A199" s="7">
        <v>1</v>
      </c>
      <c r="B199" s="14">
        <v>1</v>
      </c>
      <c r="C199" s="14" t="s">
        <v>81</v>
      </c>
      <c r="D199" s="8" t="s">
        <v>29</v>
      </c>
      <c r="E199" s="4" t="s">
        <v>42</v>
      </c>
      <c r="F199" s="4" t="s">
        <v>69</v>
      </c>
    </row>
    <row r="200" spans="1:6" x14ac:dyDescent="0.3">
      <c r="A200" s="12">
        <v>1</v>
      </c>
      <c r="B200" s="14">
        <v>1</v>
      </c>
      <c r="C200" s="14" t="s">
        <v>81</v>
      </c>
      <c r="D200" s="8" t="s">
        <v>29</v>
      </c>
      <c r="E200" s="15" t="s">
        <v>42</v>
      </c>
      <c r="F200" s="15" t="s">
        <v>73</v>
      </c>
    </row>
    <row r="201" spans="1:6" x14ac:dyDescent="0.3">
      <c r="A201" s="7">
        <v>1</v>
      </c>
      <c r="B201" s="7">
        <v>2</v>
      </c>
      <c r="C201" s="7" t="s">
        <v>80</v>
      </c>
      <c r="D201" s="4" t="s">
        <v>0</v>
      </c>
      <c r="E201" s="4" t="s">
        <v>41</v>
      </c>
      <c r="F201" s="4" t="s">
        <v>48</v>
      </c>
    </row>
    <row r="202" spans="1:6" x14ac:dyDescent="0.3">
      <c r="A202" s="12">
        <v>1</v>
      </c>
      <c r="B202" s="12">
        <v>2</v>
      </c>
      <c r="C202" s="12" t="s">
        <v>80</v>
      </c>
      <c r="D202" s="15" t="s">
        <v>40</v>
      </c>
      <c r="E202" s="15" t="s">
        <v>9</v>
      </c>
      <c r="F202" s="15" t="s">
        <v>48</v>
      </c>
    </row>
    <row r="203" spans="1:6" x14ac:dyDescent="0.3">
      <c r="A203" s="7">
        <v>1</v>
      </c>
      <c r="B203" s="7">
        <v>2</v>
      </c>
      <c r="C203" s="7" t="s">
        <v>80</v>
      </c>
      <c r="D203" s="4" t="s">
        <v>0</v>
      </c>
      <c r="E203" s="4" t="s">
        <v>41</v>
      </c>
      <c r="F203" s="4" t="s">
        <v>50</v>
      </c>
    </row>
    <row r="204" spans="1:6" x14ac:dyDescent="0.3">
      <c r="A204" s="12">
        <v>1</v>
      </c>
      <c r="B204" s="12">
        <v>1</v>
      </c>
      <c r="C204" s="12" t="s">
        <v>81</v>
      </c>
      <c r="D204" s="15" t="s">
        <v>40</v>
      </c>
      <c r="E204" s="15" t="s">
        <v>10</v>
      </c>
      <c r="F204" s="15" t="s">
        <v>50</v>
      </c>
    </row>
    <row r="205" spans="1:6" x14ac:dyDescent="0.3">
      <c r="A205" s="7">
        <v>1</v>
      </c>
      <c r="B205" s="14">
        <v>2</v>
      </c>
      <c r="C205" s="14" t="s">
        <v>80</v>
      </c>
      <c r="D205" s="8" t="s">
        <v>29</v>
      </c>
      <c r="E205" s="4" t="s">
        <v>42</v>
      </c>
      <c r="F205" s="4" t="s">
        <v>70</v>
      </c>
    </row>
    <row r="206" spans="1:6" x14ac:dyDescent="0.3">
      <c r="A206" s="12">
        <v>1</v>
      </c>
      <c r="B206" s="12">
        <v>1</v>
      </c>
      <c r="C206" s="12" t="s">
        <v>81</v>
      </c>
      <c r="D206" s="15" t="s">
        <v>0</v>
      </c>
      <c r="E206" s="15" t="s">
        <v>41</v>
      </c>
      <c r="F206" s="15" t="s">
        <v>43</v>
      </c>
    </row>
    <row r="207" spans="1:6" x14ac:dyDescent="0.3">
      <c r="A207" s="7">
        <v>1</v>
      </c>
      <c r="B207" s="7">
        <v>2</v>
      </c>
      <c r="C207" s="7" t="s">
        <v>80</v>
      </c>
      <c r="D207" s="4" t="s">
        <v>40</v>
      </c>
      <c r="E207" s="4" t="s">
        <v>10</v>
      </c>
      <c r="F207" s="4" t="s">
        <v>43</v>
      </c>
    </row>
    <row r="208" spans="1:6" x14ac:dyDescent="0.3">
      <c r="A208" s="12">
        <v>1</v>
      </c>
      <c r="B208" s="12">
        <v>2</v>
      </c>
      <c r="C208" s="12" t="s">
        <v>80</v>
      </c>
      <c r="D208" s="15" t="s">
        <v>0</v>
      </c>
      <c r="E208" s="15" t="s">
        <v>41</v>
      </c>
      <c r="F208" s="15" t="s">
        <v>46</v>
      </c>
    </row>
    <row r="209" spans="1:6" x14ac:dyDescent="0.3">
      <c r="A209" s="7">
        <v>1</v>
      </c>
      <c r="B209" s="7">
        <v>1</v>
      </c>
      <c r="C209" s="7" t="s">
        <v>81</v>
      </c>
      <c r="D209" s="4" t="s">
        <v>40</v>
      </c>
      <c r="E209" s="4" t="s">
        <v>10</v>
      </c>
      <c r="F209" s="4" t="s">
        <v>46</v>
      </c>
    </row>
    <row r="210" spans="1:6" x14ac:dyDescent="0.3">
      <c r="A210" s="12">
        <v>1</v>
      </c>
      <c r="B210" s="14">
        <v>1</v>
      </c>
      <c r="C210" s="13" t="s">
        <v>81</v>
      </c>
      <c r="D210" s="8" t="s">
        <v>29</v>
      </c>
      <c r="E210" s="15" t="s">
        <v>42</v>
      </c>
      <c r="F210" s="15" t="s">
        <v>74</v>
      </c>
    </row>
    <row r="211" spans="1:6" x14ac:dyDescent="0.3">
      <c r="A211" s="7">
        <v>1</v>
      </c>
      <c r="B211" s="14">
        <v>2</v>
      </c>
      <c r="C211" s="14" t="s">
        <v>80</v>
      </c>
      <c r="D211" s="8" t="s">
        <v>29</v>
      </c>
      <c r="E211" s="4" t="s">
        <v>42</v>
      </c>
      <c r="F211" s="4" t="s">
        <v>67</v>
      </c>
    </row>
    <row r="212" spans="1:6" x14ac:dyDescent="0.3">
      <c r="A212" s="12">
        <v>1</v>
      </c>
      <c r="B212" s="12">
        <v>1</v>
      </c>
      <c r="C212" s="12" t="s">
        <v>81</v>
      </c>
      <c r="D212" s="15" t="s">
        <v>0</v>
      </c>
      <c r="E212" s="15" t="s">
        <v>41</v>
      </c>
      <c r="F212" s="15" t="s">
        <v>44</v>
      </c>
    </row>
    <row r="213" spans="1:6" x14ac:dyDescent="0.3">
      <c r="A213" s="7">
        <v>1</v>
      </c>
      <c r="B213" s="7">
        <v>1</v>
      </c>
      <c r="C213" s="12" t="s">
        <v>81</v>
      </c>
      <c r="D213" s="4" t="s">
        <v>40</v>
      </c>
      <c r="E213" s="4" t="s">
        <v>9</v>
      </c>
      <c r="F213" s="4" t="s">
        <v>44</v>
      </c>
    </row>
    <row r="214" spans="1:6" x14ac:dyDescent="0.3">
      <c r="A214" s="12">
        <v>1</v>
      </c>
      <c r="B214" s="14">
        <v>1</v>
      </c>
      <c r="C214" s="13" t="s">
        <v>81</v>
      </c>
      <c r="D214" s="8" t="s">
        <v>29</v>
      </c>
      <c r="E214" s="15" t="s">
        <v>42</v>
      </c>
      <c r="F214" s="15" t="s">
        <v>72</v>
      </c>
    </row>
    <row r="215" spans="1:6" x14ac:dyDescent="0.3">
      <c r="A215" s="7">
        <v>1</v>
      </c>
      <c r="B215" s="14">
        <v>2</v>
      </c>
      <c r="C215" s="14" t="s">
        <v>80</v>
      </c>
      <c r="D215" s="8" t="s">
        <v>29</v>
      </c>
      <c r="E215" s="4" t="s">
        <v>42</v>
      </c>
      <c r="F215" s="4" t="s">
        <v>68</v>
      </c>
    </row>
    <row r="216" spans="1:6" x14ac:dyDescent="0.3">
      <c r="A216" s="12">
        <v>1</v>
      </c>
      <c r="B216" s="12">
        <v>1</v>
      </c>
      <c r="C216" s="12" t="s">
        <v>81</v>
      </c>
      <c r="D216" s="15" t="s">
        <v>0</v>
      </c>
      <c r="E216" s="15" t="s">
        <v>41</v>
      </c>
      <c r="F216" s="15" t="s">
        <v>45</v>
      </c>
    </row>
    <row r="217" spans="1:6" x14ac:dyDescent="0.3">
      <c r="A217" s="7">
        <v>1</v>
      </c>
      <c r="B217" s="7">
        <v>1</v>
      </c>
      <c r="C217" s="12" t="s">
        <v>81</v>
      </c>
      <c r="D217" s="4" t="s">
        <v>40</v>
      </c>
      <c r="E217" s="4" t="s">
        <v>9</v>
      </c>
      <c r="F217" s="4" t="s">
        <v>45</v>
      </c>
    </row>
    <row r="218" spans="1:6" x14ac:dyDescent="0.3">
      <c r="A218" s="12">
        <v>1</v>
      </c>
      <c r="B218" s="12">
        <v>1</v>
      </c>
      <c r="C218" s="12" t="s">
        <v>81</v>
      </c>
      <c r="D218" s="15" t="s">
        <v>0</v>
      </c>
      <c r="E218" s="15" t="s">
        <v>41</v>
      </c>
      <c r="F218" s="15" t="s">
        <v>47</v>
      </c>
    </row>
    <row r="219" spans="1:6" x14ac:dyDescent="0.3">
      <c r="A219" s="7">
        <v>1</v>
      </c>
      <c r="B219" s="7">
        <v>2</v>
      </c>
      <c r="C219" s="7" t="s">
        <v>80</v>
      </c>
      <c r="D219" s="4" t="s">
        <v>40</v>
      </c>
      <c r="E219" s="4" t="s">
        <v>10</v>
      </c>
      <c r="F219" s="4" t="s">
        <v>47</v>
      </c>
    </row>
    <row r="220" spans="1:6" x14ac:dyDescent="0.3">
      <c r="A220" s="4">
        <v>2</v>
      </c>
      <c r="B220" s="7">
        <v>1</v>
      </c>
      <c r="C220" s="4" t="s">
        <v>81</v>
      </c>
      <c r="D220" s="4" t="s">
        <v>0</v>
      </c>
      <c r="E220" s="4" t="s">
        <v>41</v>
      </c>
      <c r="F220" s="4" t="s">
        <v>52</v>
      </c>
    </row>
    <row r="221" spans="1:6" x14ac:dyDescent="0.3">
      <c r="A221" s="15">
        <v>2</v>
      </c>
      <c r="B221" s="12">
        <v>1</v>
      </c>
      <c r="C221" s="15" t="s">
        <v>81</v>
      </c>
      <c r="D221" s="15" t="s">
        <v>40</v>
      </c>
      <c r="E221" s="15" t="s">
        <v>9</v>
      </c>
      <c r="F221" s="15" t="s">
        <v>52</v>
      </c>
    </row>
    <row r="222" spans="1:6" x14ac:dyDescent="0.3">
      <c r="A222" s="4">
        <v>2</v>
      </c>
      <c r="B222" s="9">
        <v>2</v>
      </c>
      <c r="C222" s="9" t="s">
        <v>80</v>
      </c>
      <c r="D222" s="9" t="s">
        <v>29</v>
      </c>
      <c r="E222" s="4" t="s">
        <v>42</v>
      </c>
      <c r="F222" s="4" t="s">
        <v>49</v>
      </c>
    </row>
    <row r="223" spans="1:6" x14ac:dyDescent="0.3">
      <c r="A223" s="15">
        <v>2</v>
      </c>
      <c r="B223" s="9">
        <v>2</v>
      </c>
      <c r="C223" s="9" t="s">
        <v>80</v>
      </c>
      <c r="D223" s="9" t="s">
        <v>29</v>
      </c>
      <c r="E223" s="15" t="s">
        <v>42</v>
      </c>
      <c r="F223" s="15" t="s">
        <v>48</v>
      </c>
    </row>
    <row r="224" spans="1:6" x14ac:dyDescent="0.3">
      <c r="A224" s="4">
        <v>2</v>
      </c>
      <c r="B224" s="7">
        <v>1</v>
      </c>
      <c r="C224" s="7" t="s">
        <v>81</v>
      </c>
      <c r="D224" s="4" t="s">
        <v>0</v>
      </c>
      <c r="E224" s="4" t="s">
        <v>41</v>
      </c>
      <c r="F224" s="4" t="s">
        <v>53</v>
      </c>
    </row>
    <row r="225" spans="1:6" x14ac:dyDescent="0.3">
      <c r="A225" s="15">
        <v>2</v>
      </c>
      <c r="B225" s="12">
        <v>1</v>
      </c>
      <c r="C225" s="12" t="s">
        <v>81</v>
      </c>
      <c r="D225" s="15" t="s">
        <v>40</v>
      </c>
      <c r="E225" s="15" t="s">
        <v>9</v>
      </c>
      <c r="F225" s="15" t="s">
        <v>53</v>
      </c>
    </row>
    <row r="226" spans="1:6" x14ac:dyDescent="0.3">
      <c r="A226" s="4">
        <v>2</v>
      </c>
      <c r="B226" s="7">
        <v>1</v>
      </c>
      <c r="C226" s="7" t="s">
        <v>81</v>
      </c>
      <c r="D226" s="4" t="s">
        <v>0</v>
      </c>
      <c r="E226" s="4" t="s">
        <v>41</v>
      </c>
      <c r="F226" s="4" t="s">
        <v>55</v>
      </c>
    </row>
    <row r="227" spans="1:6" x14ac:dyDescent="0.3">
      <c r="A227" s="15">
        <v>2</v>
      </c>
      <c r="B227" s="12">
        <v>2</v>
      </c>
      <c r="C227" s="12" t="s">
        <v>80</v>
      </c>
      <c r="D227" s="15" t="s">
        <v>40</v>
      </c>
      <c r="E227" s="15" t="s">
        <v>10</v>
      </c>
      <c r="F227" s="15" t="s">
        <v>55</v>
      </c>
    </row>
    <row r="228" spans="1:6" x14ac:dyDescent="0.3">
      <c r="A228" s="4">
        <v>2</v>
      </c>
      <c r="B228" s="9">
        <v>1</v>
      </c>
      <c r="C228" s="9" t="s">
        <v>81</v>
      </c>
      <c r="D228" s="9" t="s">
        <v>29</v>
      </c>
      <c r="E228" s="4" t="s">
        <v>42</v>
      </c>
      <c r="F228" s="4" t="s">
        <v>50</v>
      </c>
    </row>
    <row r="229" spans="1:6" x14ac:dyDescent="0.3">
      <c r="A229" s="15">
        <v>2</v>
      </c>
      <c r="B229" s="12">
        <v>2</v>
      </c>
      <c r="C229" s="12" t="s">
        <v>80</v>
      </c>
      <c r="D229" s="15" t="s">
        <v>0</v>
      </c>
      <c r="E229" s="15" t="s">
        <v>41</v>
      </c>
      <c r="F229" s="15" t="s">
        <v>54</v>
      </c>
    </row>
    <row r="230" spans="1:6" x14ac:dyDescent="0.3">
      <c r="A230" s="4">
        <v>2</v>
      </c>
      <c r="B230" s="7">
        <v>1</v>
      </c>
      <c r="C230" s="7" t="s">
        <v>81</v>
      </c>
      <c r="D230" s="4" t="s">
        <v>40</v>
      </c>
      <c r="E230" s="4" t="s">
        <v>10</v>
      </c>
      <c r="F230" s="4" t="s">
        <v>54</v>
      </c>
    </row>
    <row r="231" spans="1:6" x14ac:dyDescent="0.3">
      <c r="A231" s="15">
        <v>2</v>
      </c>
      <c r="B231" s="12">
        <v>1</v>
      </c>
      <c r="C231" s="12" t="s">
        <v>81</v>
      </c>
      <c r="D231" s="15" t="s">
        <v>0</v>
      </c>
      <c r="E231" s="15" t="s">
        <v>41</v>
      </c>
      <c r="F231" s="15" t="s">
        <v>51</v>
      </c>
    </row>
    <row r="232" spans="1:6" x14ac:dyDescent="0.3">
      <c r="A232" s="4">
        <v>2</v>
      </c>
      <c r="B232" s="7">
        <v>2</v>
      </c>
      <c r="C232" s="7" t="s">
        <v>80</v>
      </c>
      <c r="D232" s="4" t="s">
        <v>40</v>
      </c>
      <c r="E232" s="4" t="s">
        <v>10</v>
      </c>
      <c r="F232" s="4" t="s">
        <v>51</v>
      </c>
    </row>
    <row r="233" spans="1:6" x14ac:dyDescent="0.3">
      <c r="A233" s="15">
        <v>2</v>
      </c>
      <c r="B233" s="9">
        <v>2</v>
      </c>
      <c r="C233" s="9" t="s">
        <v>80</v>
      </c>
      <c r="D233" s="9" t="s">
        <v>29</v>
      </c>
      <c r="E233" s="15" t="s">
        <v>42</v>
      </c>
      <c r="F233" s="15" t="s">
        <v>43</v>
      </c>
    </row>
    <row r="234" spans="1:6" x14ac:dyDescent="0.3">
      <c r="A234" s="4">
        <v>2</v>
      </c>
      <c r="B234" s="9">
        <v>1</v>
      </c>
      <c r="C234" s="9" t="s">
        <v>81</v>
      </c>
      <c r="D234" s="9" t="s">
        <v>29</v>
      </c>
      <c r="E234" s="4" t="s">
        <v>42</v>
      </c>
      <c r="F234" s="4" t="s">
        <v>46</v>
      </c>
    </row>
    <row r="235" spans="1:6" x14ac:dyDescent="0.3">
      <c r="A235" s="15">
        <v>2</v>
      </c>
      <c r="B235" s="12">
        <v>2</v>
      </c>
      <c r="C235" s="12" t="s">
        <v>80</v>
      </c>
      <c r="D235" s="15" t="s">
        <v>0</v>
      </c>
      <c r="E235" s="15" t="s">
        <v>41</v>
      </c>
      <c r="F235" s="15" t="s">
        <v>57</v>
      </c>
    </row>
    <row r="236" spans="1:6" x14ac:dyDescent="0.3">
      <c r="A236" s="4">
        <v>2</v>
      </c>
      <c r="B236" s="7">
        <v>2</v>
      </c>
      <c r="C236" s="7" t="s">
        <v>80</v>
      </c>
      <c r="D236" s="4" t="s">
        <v>40</v>
      </c>
      <c r="E236" s="4" t="s">
        <v>9</v>
      </c>
      <c r="F236" s="4" t="s">
        <v>57</v>
      </c>
    </row>
    <row r="237" spans="1:6" x14ac:dyDescent="0.3">
      <c r="A237" s="15">
        <v>2</v>
      </c>
      <c r="B237" s="9">
        <v>1</v>
      </c>
      <c r="C237" s="9" t="s">
        <v>81</v>
      </c>
      <c r="D237" s="9" t="s">
        <v>29</v>
      </c>
      <c r="E237" s="15" t="s">
        <v>42</v>
      </c>
      <c r="F237" s="15" t="s">
        <v>44</v>
      </c>
    </row>
    <row r="238" spans="1:6" x14ac:dyDescent="0.3">
      <c r="A238" s="4">
        <v>2</v>
      </c>
      <c r="B238" s="7">
        <v>2</v>
      </c>
      <c r="C238" s="7" t="s">
        <v>80</v>
      </c>
      <c r="D238" s="4" t="s">
        <v>0</v>
      </c>
      <c r="E238" s="4" t="s">
        <v>41</v>
      </c>
      <c r="F238" s="4" t="s">
        <v>58</v>
      </c>
    </row>
    <row r="239" spans="1:6" x14ac:dyDescent="0.3">
      <c r="A239" s="15">
        <v>2</v>
      </c>
      <c r="B239" s="12">
        <v>2</v>
      </c>
      <c r="C239" s="12" t="s">
        <v>80</v>
      </c>
      <c r="D239" s="15" t="s">
        <v>40</v>
      </c>
      <c r="E239" s="15" t="s">
        <v>9</v>
      </c>
      <c r="F239" s="15" t="s">
        <v>58</v>
      </c>
    </row>
    <row r="240" spans="1:6" x14ac:dyDescent="0.3">
      <c r="A240" s="4">
        <v>2</v>
      </c>
      <c r="B240" s="7">
        <v>2</v>
      </c>
      <c r="C240" s="7" t="s">
        <v>80</v>
      </c>
      <c r="D240" s="4" t="s">
        <v>0</v>
      </c>
      <c r="E240" s="4" t="s">
        <v>41</v>
      </c>
      <c r="F240" s="4" t="s">
        <v>56</v>
      </c>
    </row>
    <row r="241" spans="1:6" x14ac:dyDescent="0.3">
      <c r="A241" s="15">
        <v>2</v>
      </c>
      <c r="B241" s="12">
        <v>1</v>
      </c>
      <c r="C241" s="12" t="s">
        <v>81</v>
      </c>
      <c r="D241" s="15" t="s">
        <v>40</v>
      </c>
      <c r="E241" s="15" t="s">
        <v>10</v>
      </c>
      <c r="F241" s="15" t="s">
        <v>56</v>
      </c>
    </row>
    <row r="242" spans="1:6" x14ac:dyDescent="0.3">
      <c r="A242" s="4">
        <v>2</v>
      </c>
      <c r="B242" s="9">
        <v>1</v>
      </c>
      <c r="C242" s="9" t="s">
        <v>81</v>
      </c>
      <c r="D242" s="9" t="s">
        <v>29</v>
      </c>
      <c r="E242" s="4" t="s">
        <v>42</v>
      </c>
      <c r="F242" s="4" t="s">
        <v>45</v>
      </c>
    </row>
    <row r="243" spans="1:6" x14ac:dyDescent="0.3">
      <c r="A243" s="15">
        <v>2</v>
      </c>
      <c r="B243" s="9">
        <v>2</v>
      </c>
      <c r="C243" s="9" t="s">
        <v>80</v>
      </c>
      <c r="D243" s="9" t="s">
        <v>29</v>
      </c>
      <c r="E243" s="15" t="s">
        <v>42</v>
      </c>
      <c r="F243" s="15" t="s">
        <v>47</v>
      </c>
    </row>
    <row r="244" spans="1:6" x14ac:dyDescent="0.3">
      <c r="A244" s="12">
        <v>3</v>
      </c>
      <c r="B244" s="12">
        <v>1</v>
      </c>
      <c r="C244" s="12" t="s">
        <v>81</v>
      </c>
      <c r="D244" s="15" t="s">
        <v>0</v>
      </c>
      <c r="E244" s="15" t="s">
        <v>41</v>
      </c>
      <c r="F244" s="15" t="s">
        <v>62</v>
      </c>
    </row>
    <row r="245" spans="1:6" x14ac:dyDescent="0.3">
      <c r="A245" s="7">
        <v>3</v>
      </c>
      <c r="B245" s="7">
        <v>2</v>
      </c>
      <c r="C245" s="7" t="s">
        <v>80</v>
      </c>
      <c r="D245" s="4" t="s">
        <v>40</v>
      </c>
      <c r="E245" s="4" t="s">
        <v>10</v>
      </c>
      <c r="F245" s="4" t="s">
        <v>62</v>
      </c>
    </row>
    <row r="246" spans="1:6" x14ac:dyDescent="0.3">
      <c r="A246" s="12">
        <v>3</v>
      </c>
      <c r="B246" s="10">
        <v>2</v>
      </c>
      <c r="C246" s="10" t="s">
        <v>80</v>
      </c>
      <c r="D246" s="10" t="s">
        <v>29</v>
      </c>
      <c r="E246" s="15" t="s">
        <v>42</v>
      </c>
      <c r="F246" s="15" t="s">
        <v>52</v>
      </c>
    </row>
    <row r="247" spans="1:6" x14ac:dyDescent="0.3">
      <c r="A247" s="7">
        <v>3</v>
      </c>
      <c r="B247" s="10">
        <v>1</v>
      </c>
      <c r="C247" s="10" t="s">
        <v>81</v>
      </c>
      <c r="D247" s="10" t="s">
        <v>29</v>
      </c>
      <c r="E247" s="4" t="s">
        <v>42</v>
      </c>
      <c r="F247" s="4" t="s">
        <v>53</v>
      </c>
    </row>
    <row r="248" spans="1:6" x14ac:dyDescent="0.3">
      <c r="A248" s="12">
        <v>3</v>
      </c>
      <c r="B248" s="12">
        <v>2</v>
      </c>
      <c r="C248" s="12" t="s">
        <v>80</v>
      </c>
      <c r="D248" s="15" t="s">
        <v>0</v>
      </c>
      <c r="E248" s="15" t="s">
        <v>41</v>
      </c>
      <c r="F248" s="15" t="s">
        <v>65</v>
      </c>
    </row>
    <row r="249" spans="1:6" x14ac:dyDescent="0.3">
      <c r="A249" s="7">
        <v>3</v>
      </c>
      <c r="B249" s="7">
        <v>1</v>
      </c>
      <c r="C249" s="7" t="s">
        <v>81</v>
      </c>
      <c r="D249" s="4" t="s">
        <v>40</v>
      </c>
      <c r="E249" s="4" t="s">
        <v>10</v>
      </c>
      <c r="F249" s="4" t="s">
        <v>65</v>
      </c>
    </row>
    <row r="250" spans="1:6" x14ac:dyDescent="0.3">
      <c r="A250" s="12">
        <v>3</v>
      </c>
      <c r="B250" s="12">
        <v>1</v>
      </c>
      <c r="C250" s="12" t="s">
        <v>81</v>
      </c>
      <c r="D250" s="15" t="s">
        <v>0</v>
      </c>
      <c r="E250" s="15" t="s">
        <v>41</v>
      </c>
      <c r="F250" s="15" t="s">
        <v>60</v>
      </c>
    </row>
    <row r="251" spans="1:6" x14ac:dyDescent="0.3">
      <c r="A251" s="7">
        <v>3</v>
      </c>
      <c r="B251" s="7">
        <v>2</v>
      </c>
      <c r="C251" s="7" t="s">
        <v>80</v>
      </c>
      <c r="D251" s="4" t="s">
        <v>40</v>
      </c>
      <c r="E251" s="4" t="s">
        <v>10</v>
      </c>
      <c r="F251" s="4" t="s">
        <v>60</v>
      </c>
    </row>
    <row r="252" spans="1:6" x14ac:dyDescent="0.3">
      <c r="A252" s="12">
        <v>3</v>
      </c>
      <c r="B252" s="10">
        <v>1</v>
      </c>
      <c r="C252" s="10" t="s">
        <v>81</v>
      </c>
      <c r="D252" s="10" t="s">
        <v>29</v>
      </c>
      <c r="E252" s="15" t="s">
        <v>42</v>
      </c>
      <c r="F252" s="15" t="s">
        <v>55</v>
      </c>
    </row>
    <row r="253" spans="1:6" x14ac:dyDescent="0.3">
      <c r="A253" s="7">
        <v>3</v>
      </c>
      <c r="B253" s="7">
        <v>2</v>
      </c>
      <c r="C253" s="7" t="s">
        <v>80</v>
      </c>
      <c r="D253" s="4" t="s">
        <v>0</v>
      </c>
      <c r="E253" s="4" t="s">
        <v>41</v>
      </c>
      <c r="F253" s="4" t="s">
        <v>64</v>
      </c>
    </row>
    <row r="254" spans="1:6" x14ac:dyDescent="0.3">
      <c r="A254" s="12">
        <v>3</v>
      </c>
      <c r="B254" s="12">
        <v>2</v>
      </c>
      <c r="C254" s="12" t="s">
        <v>80</v>
      </c>
      <c r="D254" s="15" t="s">
        <v>40</v>
      </c>
      <c r="E254" s="15" t="s">
        <v>9</v>
      </c>
      <c r="F254" s="15" t="s">
        <v>64</v>
      </c>
    </row>
    <row r="255" spans="1:6" x14ac:dyDescent="0.3">
      <c r="A255" s="7">
        <v>3</v>
      </c>
      <c r="B255" s="10">
        <v>1</v>
      </c>
      <c r="C255" s="10" t="s">
        <v>81</v>
      </c>
      <c r="D255" s="10" t="s">
        <v>29</v>
      </c>
      <c r="E255" s="4" t="s">
        <v>42</v>
      </c>
      <c r="F255" s="4" t="s">
        <v>54</v>
      </c>
    </row>
    <row r="256" spans="1:6" x14ac:dyDescent="0.3">
      <c r="A256" s="12">
        <v>3</v>
      </c>
      <c r="B256" s="10">
        <v>2</v>
      </c>
      <c r="C256" s="10" t="s">
        <v>80</v>
      </c>
      <c r="D256" s="10" t="s">
        <v>29</v>
      </c>
      <c r="E256" s="15" t="s">
        <v>42</v>
      </c>
      <c r="F256" s="15" t="s">
        <v>51</v>
      </c>
    </row>
    <row r="257" spans="1:6" x14ac:dyDescent="0.3">
      <c r="A257" s="7">
        <v>3</v>
      </c>
      <c r="B257" s="10">
        <v>1</v>
      </c>
      <c r="C257" s="10" t="s">
        <v>81</v>
      </c>
      <c r="D257" s="10" t="s">
        <v>29</v>
      </c>
      <c r="E257" s="4" t="s">
        <v>42</v>
      </c>
      <c r="F257" s="4" t="s">
        <v>57</v>
      </c>
    </row>
    <row r="258" spans="1:6" x14ac:dyDescent="0.3">
      <c r="A258" s="12">
        <v>3</v>
      </c>
      <c r="B258" s="12">
        <v>2</v>
      </c>
      <c r="C258" s="12" t="s">
        <v>80</v>
      </c>
      <c r="D258" s="15" t="s">
        <v>0</v>
      </c>
      <c r="E258" s="15" t="s">
        <v>41</v>
      </c>
      <c r="F258" s="15" t="s">
        <v>66</v>
      </c>
    </row>
    <row r="259" spans="1:6" x14ac:dyDescent="0.3">
      <c r="A259" s="7">
        <v>3</v>
      </c>
      <c r="B259" s="7">
        <v>2</v>
      </c>
      <c r="C259" s="7" t="s">
        <v>80</v>
      </c>
      <c r="D259" s="4" t="s">
        <v>40</v>
      </c>
      <c r="E259" s="4" t="s">
        <v>9</v>
      </c>
      <c r="F259" s="4" t="s">
        <v>66</v>
      </c>
    </row>
    <row r="260" spans="1:6" x14ac:dyDescent="0.3">
      <c r="A260" s="12">
        <v>3</v>
      </c>
      <c r="B260" s="12">
        <v>2</v>
      </c>
      <c r="C260" s="12" t="s">
        <v>80</v>
      </c>
      <c r="D260" s="15" t="s">
        <v>0</v>
      </c>
      <c r="E260" s="15" t="s">
        <v>41</v>
      </c>
      <c r="F260" s="15" t="s">
        <v>63</v>
      </c>
    </row>
    <row r="261" spans="1:6" x14ac:dyDescent="0.3">
      <c r="A261" s="7">
        <v>3</v>
      </c>
      <c r="B261" s="7">
        <v>1</v>
      </c>
      <c r="C261" s="7" t="s">
        <v>81</v>
      </c>
      <c r="D261" s="4" t="s">
        <v>40</v>
      </c>
      <c r="E261" s="4" t="s">
        <v>10</v>
      </c>
      <c r="F261" s="4" t="s">
        <v>63</v>
      </c>
    </row>
    <row r="262" spans="1:6" x14ac:dyDescent="0.3">
      <c r="A262" s="7">
        <v>3</v>
      </c>
      <c r="B262" s="7">
        <v>1</v>
      </c>
      <c r="C262" s="7" t="s">
        <v>81</v>
      </c>
      <c r="D262" s="4" t="s">
        <v>0</v>
      </c>
      <c r="E262" s="4" t="s">
        <v>41</v>
      </c>
      <c r="F262" s="4" t="s">
        <v>61</v>
      </c>
    </row>
    <row r="263" spans="1:6" x14ac:dyDescent="0.3">
      <c r="A263" s="12">
        <v>3</v>
      </c>
      <c r="B263" s="12">
        <v>1</v>
      </c>
      <c r="C263" s="12" t="s">
        <v>81</v>
      </c>
      <c r="D263" s="15" t="s">
        <v>40</v>
      </c>
      <c r="E263" s="15" t="s">
        <v>9</v>
      </c>
      <c r="F263" s="15" t="s">
        <v>61</v>
      </c>
    </row>
    <row r="264" spans="1:6" x14ac:dyDescent="0.3">
      <c r="A264" s="7">
        <v>3</v>
      </c>
      <c r="B264" s="10">
        <v>2</v>
      </c>
      <c r="C264" s="10" t="s">
        <v>80</v>
      </c>
      <c r="D264" s="10" t="s">
        <v>29</v>
      </c>
      <c r="E264" s="4" t="s">
        <v>42</v>
      </c>
      <c r="F264" s="4" t="s">
        <v>56</v>
      </c>
    </row>
    <row r="265" spans="1:6" x14ac:dyDescent="0.3">
      <c r="A265" s="12">
        <v>3</v>
      </c>
      <c r="B265" s="12">
        <v>1</v>
      </c>
      <c r="C265" s="12" t="s">
        <v>81</v>
      </c>
      <c r="D265" s="15" t="s">
        <v>0</v>
      </c>
      <c r="E265" s="15" t="s">
        <v>41</v>
      </c>
      <c r="F265" s="15" t="s">
        <v>59</v>
      </c>
    </row>
    <row r="266" spans="1:6" x14ac:dyDescent="0.3">
      <c r="A266" s="7">
        <v>3</v>
      </c>
      <c r="B266" s="7">
        <v>1</v>
      </c>
      <c r="C266" s="7" t="s">
        <v>81</v>
      </c>
      <c r="D266" s="4" t="s">
        <v>40</v>
      </c>
      <c r="E266" s="4" t="s">
        <v>9</v>
      </c>
      <c r="F266" s="4" t="s">
        <v>59</v>
      </c>
    </row>
    <row r="267" spans="1:6" x14ac:dyDescent="0.3">
      <c r="A267" s="12">
        <v>3</v>
      </c>
      <c r="B267" s="10">
        <v>2</v>
      </c>
      <c r="C267" s="10" t="s">
        <v>80</v>
      </c>
      <c r="D267" s="10" t="s">
        <v>29</v>
      </c>
      <c r="E267" s="15" t="s">
        <v>42</v>
      </c>
      <c r="F267" s="15" t="s">
        <v>58</v>
      </c>
    </row>
    <row r="268" spans="1:6" x14ac:dyDescent="0.3">
      <c r="A268" s="4">
        <v>4</v>
      </c>
      <c r="B268" s="7">
        <v>1</v>
      </c>
      <c r="C268" s="7" t="s">
        <v>81</v>
      </c>
      <c r="D268" s="4" t="s">
        <v>0</v>
      </c>
      <c r="E268" s="4" t="s">
        <v>41</v>
      </c>
      <c r="F268" s="4" t="s">
        <v>71</v>
      </c>
    </row>
    <row r="269" spans="1:6" x14ac:dyDescent="0.3">
      <c r="A269" s="15">
        <v>4</v>
      </c>
      <c r="B269" s="12">
        <v>1</v>
      </c>
      <c r="C269" s="12" t="s">
        <v>81</v>
      </c>
      <c r="D269" s="15" t="s">
        <v>40</v>
      </c>
      <c r="E269" s="15" t="s">
        <v>9</v>
      </c>
      <c r="F269" s="15" t="s">
        <v>71</v>
      </c>
    </row>
    <row r="270" spans="1:6" x14ac:dyDescent="0.3">
      <c r="A270" s="4">
        <v>4</v>
      </c>
      <c r="B270" s="11">
        <v>2</v>
      </c>
      <c r="C270" s="11" t="s">
        <v>80</v>
      </c>
      <c r="D270" s="11" t="s">
        <v>29</v>
      </c>
      <c r="E270" s="4" t="s">
        <v>42</v>
      </c>
      <c r="F270" s="4" t="s">
        <v>62</v>
      </c>
    </row>
    <row r="271" spans="1:6" x14ac:dyDescent="0.3">
      <c r="A271" s="15">
        <v>4</v>
      </c>
      <c r="B271" s="12">
        <v>1</v>
      </c>
      <c r="C271" s="12" t="s">
        <v>81</v>
      </c>
      <c r="D271" s="15" t="s">
        <v>0</v>
      </c>
      <c r="E271" s="15" t="s">
        <v>41</v>
      </c>
      <c r="F271" s="15" t="s">
        <v>69</v>
      </c>
    </row>
    <row r="272" spans="1:6" x14ac:dyDescent="0.3">
      <c r="A272" s="4">
        <v>4</v>
      </c>
      <c r="B272" s="7">
        <v>2</v>
      </c>
      <c r="C272" s="7" t="s">
        <v>80</v>
      </c>
      <c r="D272" s="4" t="s">
        <v>40</v>
      </c>
      <c r="E272" s="4" t="s">
        <v>10</v>
      </c>
      <c r="F272" s="4" t="s">
        <v>69</v>
      </c>
    </row>
    <row r="273" spans="1:6" x14ac:dyDescent="0.3">
      <c r="A273" s="15">
        <v>4</v>
      </c>
      <c r="B273" s="12">
        <v>2</v>
      </c>
      <c r="C273" s="12" t="s">
        <v>80</v>
      </c>
      <c r="D273" s="15" t="s">
        <v>0</v>
      </c>
      <c r="E273" s="15" t="s">
        <v>41</v>
      </c>
      <c r="F273" s="15" t="s">
        <v>73</v>
      </c>
    </row>
    <row r="274" spans="1:6" x14ac:dyDescent="0.3">
      <c r="A274" s="4">
        <v>4</v>
      </c>
      <c r="B274" s="7">
        <v>2</v>
      </c>
      <c r="C274" s="7" t="s">
        <v>80</v>
      </c>
      <c r="D274" s="4" t="s">
        <v>40</v>
      </c>
      <c r="E274" s="4" t="s">
        <v>9</v>
      </c>
      <c r="F274" s="4" t="s">
        <v>73</v>
      </c>
    </row>
    <row r="275" spans="1:6" x14ac:dyDescent="0.3">
      <c r="A275" s="15">
        <v>4</v>
      </c>
      <c r="B275" s="11">
        <v>1</v>
      </c>
      <c r="C275" s="11" t="s">
        <v>81</v>
      </c>
      <c r="D275" s="11" t="s">
        <v>29</v>
      </c>
      <c r="E275" s="15" t="s">
        <v>42</v>
      </c>
      <c r="F275" s="15" t="s">
        <v>65</v>
      </c>
    </row>
    <row r="276" spans="1:6" x14ac:dyDescent="0.3">
      <c r="A276" s="4">
        <v>4</v>
      </c>
      <c r="B276" s="11">
        <v>2</v>
      </c>
      <c r="C276" s="11" t="s">
        <v>80</v>
      </c>
      <c r="D276" s="11" t="s">
        <v>29</v>
      </c>
      <c r="E276" s="4" t="s">
        <v>42</v>
      </c>
      <c r="F276" s="4" t="s">
        <v>60</v>
      </c>
    </row>
    <row r="277" spans="1:6" x14ac:dyDescent="0.3">
      <c r="A277" s="15">
        <v>4</v>
      </c>
      <c r="B277" s="12">
        <v>2</v>
      </c>
      <c r="C277" s="12" t="s">
        <v>80</v>
      </c>
      <c r="D277" s="15" t="s">
        <v>0</v>
      </c>
      <c r="E277" s="15" t="s">
        <v>41</v>
      </c>
      <c r="F277" s="15" t="s">
        <v>70</v>
      </c>
    </row>
    <row r="278" spans="1:6" x14ac:dyDescent="0.3">
      <c r="A278" s="4">
        <v>4</v>
      </c>
      <c r="B278" s="7">
        <v>1</v>
      </c>
      <c r="C278" s="7" t="s">
        <v>81</v>
      </c>
      <c r="D278" s="4" t="s">
        <v>40</v>
      </c>
      <c r="E278" s="4" t="s">
        <v>10</v>
      </c>
      <c r="F278" s="4" t="s">
        <v>70</v>
      </c>
    </row>
    <row r="279" spans="1:6" x14ac:dyDescent="0.3">
      <c r="A279" s="15">
        <v>4</v>
      </c>
      <c r="B279" s="12">
        <v>1</v>
      </c>
      <c r="C279" s="12" t="s">
        <v>81</v>
      </c>
      <c r="D279" s="15" t="s">
        <v>0</v>
      </c>
      <c r="E279" s="15" t="s">
        <v>41</v>
      </c>
      <c r="F279" s="15" t="s">
        <v>74</v>
      </c>
    </row>
    <row r="280" spans="1:6" x14ac:dyDescent="0.3">
      <c r="A280" s="4">
        <v>4</v>
      </c>
      <c r="B280" s="7">
        <v>2</v>
      </c>
      <c r="C280" s="7" t="s">
        <v>80</v>
      </c>
      <c r="D280" s="4" t="s">
        <v>40</v>
      </c>
      <c r="E280" s="4" t="s">
        <v>10</v>
      </c>
      <c r="F280" s="4" t="s">
        <v>74</v>
      </c>
    </row>
    <row r="281" spans="1:6" x14ac:dyDescent="0.3">
      <c r="A281" s="15">
        <v>4</v>
      </c>
      <c r="B281" s="11">
        <v>1</v>
      </c>
      <c r="C281" s="11" t="s">
        <v>81</v>
      </c>
      <c r="D281" s="11" t="s">
        <v>29</v>
      </c>
      <c r="E281" s="15" t="s">
        <v>42</v>
      </c>
      <c r="F281" s="15" t="s">
        <v>64</v>
      </c>
    </row>
    <row r="282" spans="1:6" x14ac:dyDescent="0.3">
      <c r="A282" s="4">
        <v>4</v>
      </c>
      <c r="B282" s="7">
        <v>2</v>
      </c>
      <c r="C282" s="7" t="s">
        <v>80</v>
      </c>
      <c r="D282" s="4" t="s">
        <v>0</v>
      </c>
      <c r="E282" s="4" t="s">
        <v>41</v>
      </c>
      <c r="F282" s="4" t="s">
        <v>67</v>
      </c>
    </row>
    <row r="283" spans="1:6" x14ac:dyDescent="0.3">
      <c r="A283" s="15">
        <v>4</v>
      </c>
      <c r="B283" s="12">
        <v>2</v>
      </c>
      <c r="C283" s="12" t="s">
        <v>80</v>
      </c>
      <c r="D283" s="15" t="s">
        <v>40</v>
      </c>
      <c r="E283" s="15" t="s">
        <v>9</v>
      </c>
      <c r="F283" s="15" t="s">
        <v>67</v>
      </c>
    </row>
    <row r="284" spans="1:6" x14ac:dyDescent="0.3">
      <c r="A284" s="4">
        <v>4</v>
      </c>
      <c r="B284" s="11">
        <v>1</v>
      </c>
      <c r="C284" s="11" t="s">
        <v>81</v>
      </c>
      <c r="D284" s="11" t="s">
        <v>29</v>
      </c>
      <c r="E284" s="4" t="s">
        <v>42</v>
      </c>
      <c r="F284" s="4" t="s">
        <v>66</v>
      </c>
    </row>
    <row r="285" spans="1:6" x14ac:dyDescent="0.3">
      <c r="A285" s="15">
        <v>4</v>
      </c>
      <c r="B285" s="12">
        <v>2</v>
      </c>
      <c r="C285" s="12" t="s">
        <v>80</v>
      </c>
      <c r="D285" s="15" t="s">
        <v>0</v>
      </c>
      <c r="E285" s="15" t="s">
        <v>41</v>
      </c>
      <c r="F285" s="15" t="s">
        <v>72</v>
      </c>
    </row>
    <row r="286" spans="1:6" x14ac:dyDescent="0.3">
      <c r="A286" s="4">
        <v>4</v>
      </c>
      <c r="B286" s="7">
        <v>1</v>
      </c>
      <c r="C286" s="7" t="s">
        <v>81</v>
      </c>
      <c r="D286" s="4" t="s">
        <v>40</v>
      </c>
      <c r="E286" s="4" t="s">
        <v>10</v>
      </c>
      <c r="F286" s="4" t="s">
        <v>72</v>
      </c>
    </row>
    <row r="287" spans="1:6" x14ac:dyDescent="0.3">
      <c r="A287" s="15">
        <v>4</v>
      </c>
      <c r="B287" s="12">
        <v>1</v>
      </c>
      <c r="C287" s="12" t="s">
        <v>81</v>
      </c>
      <c r="D287" s="15" t="s">
        <v>0</v>
      </c>
      <c r="E287" s="15" t="s">
        <v>41</v>
      </c>
      <c r="F287" s="15" t="s">
        <v>68</v>
      </c>
    </row>
    <row r="288" spans="1:6" x14ac:dyDescent="0.3">
      <c r="A288" s="4">
        <v>4</v>
      </c>
      <c r="B288" s="7">
        <v>1</v>
      </c>
      <c r="C288" s="7" t="s">
        <v>81</v>
      </c>
      <c r="D288" s="4" t="s">
        <v>40</v>
      </c>
      <c r="E288" s="4" t="s">
        <v>9</v>
      </c>
      <c r="F288" s="4" t="s">
        <v>68</v>
      </c>
    </row>
    <row r="289" spans="1:6" x14ac:dyDescent="0.3">
      <c r="A289" s="15">
        <v>4</v>
      </c>
      <c r="B289" s="11">
        <v>2</v>
      </c>
      <c r="C289" s="11" t="s">
        <v>80</v>
      </c>
      <c r="D289" s="11" t="s">
        <v>29</v>
      </c>
      <c r="E289" s="15" t="s">
        <v>42</v>
      </c>
      <c r="F289" s="15" t="s">
        <v>63</v>
      </c>
    </row>
    <row r="290" spans="1:6" x14ac:dyDescent="0.3">
      <c r="A290" s="4">
        <v>4</v>
      </c>
      <c r="B290" s="11">
        <v>1</v>
      </c>
      <c r="C290" s="11" t="s">
        <v>81</v>
      </c>
      <c r="D290" s="11" t="s">
        <v>29</v>
      </c>
      <c r="E290" s="4" t="s">
        <v>42</v>
      </c>
      <c r="F290" s="4" t="s">
        <v>61</v>
      </c>
    </row>
    <row r="291" spans="1:6" x14ac:dyDescent="0.3">
      <c r="A291" s="15">
        <v>4</v>
      </c>
      <c r="B291" s="11">
        <v>2</v>
      </c>
      <c r="C291" s="11" t="s">
        <v>80</v>
      </c>
      <c r="D291" s="11" t="s">
        <v>29</v>
      </c>
      <c r="E291" s="15" t="s">
        <v>42</v>
      </c>
      <c r="F291" s="15" t="s">
        <v>59</v>
      </c>
    </row>
    <row r="292" spans="1:6" x14ac:dyDescent="0.3">
      <c r="A292" t="s">
        <v>25</v>
      </c>
    </row>
    <row r="293" spans="1:6" x14ac:dyDescent="0.3">
      <c r="A293" s="12">
        <v>1</v>
      </c>
      <c r="B293" s="14">
        <v>2</v>
      </c>
      <c r="C293" s="13" t="s">
        <v>80</v>
      </c>
      <c r="D293" s="8" t="s">
        <v>29</v>
      </c>
      <c r="E293" s="15" t="s">
        <v>42</v>
      </c>
      <c r="F293" s="15" t="s">
        <v>69</v>
      </c>
    </row>
    <row r="294" spans="1:6" x14ac:dyDescent="0.3">
      <c r="A294" s="7">
        <v>1</v>
      </c>
      <c r="B294" s="4">
        <v>2</v>
      </c>
      <c r="C294" s="4" t="s">
        <v>80</v>
      </c>
      <c r="D294" s="4" t="s">
        <v>0</v>
      </c>
      <c r="E294" s="4" t="s">
        <v>41</v>
      </c>
      <c r="F294" s="4" t="s">
        <v>47</v>
      </c>
    </row>
    <row r="295" spans="1:6" x14ac:dyDescent="0.3">
      <c r="A295" s="12">
        <v>1</v>
      </c>
      <c r="B295" s="15">
        <v>2</v>
      </c>
      <c r="C295" s="15" t="s">
        <v>80</v>
      </c>
      <c r="D295" s="15" t="s">
        <v>40</v>
      </c>
      <c r="E295" s="15" t="s">
        <v>9</v>
      </c>
      <c r="F295" s="15" t="s">
        <v>47</v>
      </c>
    </row>
    <row r="296" spans="1:6" x14ac:dyDescent="0.3">
      <c r="A296" s="7">
        <v>1</v>
      </c>
      <c r="B296" s="14">
        <v>1</v>
      </c>
      <c r="C296" s="14" t="s">
        <v>81</v>
      </c>
      <c r="D296" s="8" t="s">
        <v>29</v>
      </c>
      <c r="E296" s="4" t="s">
        <v>42</v>
      </c>
      <c r="F296" s="4" t="s">
        <v>72</v>
      </c>
    </row>
    <row r="297" spans="1:6" x14ac:dyDescent="0.3">
      <c r="A297" s="12">
        <v>1</v>
      </c>
      <c r="B297" s="14">
        <v>2</v>
      </c>
      <c r="C297" s="13" t="s">
        <v>80</v>
      </c>
      <c r="D297" s="8" t="s">
        <v>29</v>
      </c>
      <c r="E297" s="15" t="s">
        <v>42</v>
      </c>
      <c r="F297" s="15" t="s">
        <v>70</v>
      </c>
    </row>
    <row r="298" spans="1:6" x14ac:dyDescent="0.3">
      <c r="A298" s="7">
        <v>1</v>
      </c>
      <c r="B298" s="14">
        <v>1</v>
      </c>
      <c r="C298" s="14" t="s">
        <v>81</v>
      </c>
      <c r="D298" s="8" t="s">
        <v>29</v>
      </c>
      <c r="E298" s="4" t="s">
        <v>42</v>
      </c>
      <c r="F298" s="4" t="s">
        <v>74</v>
      </c>
    </row>
    <row r="299" spans="1:6" x14ac:dyDescent="0.3">
      <c r="A299" s="12">
        <v>1</v>
      </c>
      <c r="B299" s="15">
        <v>2</v>
      </c>
      <c r="C299" s="15" t="s">
        <v>80</v>
      </c>
      <c r="D299" s="15" t="s">
        <v>0</v>
      </c>
      <c r="E299" s="15" t="s">
        <v>41</v>
      </c>
      <c r="F299" s="15" t="s">
        <v>50</v>
      </c>
    </row>
    <row r="300" spans="1:6" x14ac:dyDescent="0.3">
      <c r="A300" s="7">
        <v>1</v>
      </c>
      <c r="B300" s="4">
        <v>2</v>
      </c>
      <c r="C300" s="15" t="s">
        <v>80</v>
      </c>
      <c r="D300" s="4" t="s">
        <v>40</v>
      </c>
      <c r="E300" s="4" t="s">
        <v>9</v>
      </c>
      <c r="F300" s="4" t="s">
        <v>50</v>
      </c>
    </row>
    <row r="301" spans="1:6" x14ac:dyDescent="0.3">
      <c r="A301" s="12">
        <v>1</v>
      </c>
      <c r="B301" s="15">
        <v>2</v>
      </c>
      <c r="C301" s="15" t="s">
        <v>80</v>
      </c>
      <c r="D301" s="15" t="s">
        <v>0</v>
      </c>
      <c r="E301" s="15" t="s">
        <v>41</v>
      </c>
      <c r="F301" s="15" t="s">
        <v>49</v>
      </c>
    </row>
    <row r="302" spans="1:6" x14ac:dyDescent="0.3">
      <c r="A302" s="7">
        <v>1</v>
      </c>
      <c r="B302" s="4">
        <v>1</v>
      </c>
      <c r="C302" s="4" t="s">
        <v>81</v>
      </c>
      <c r="D302" s="4" t="s">
        <v>40</v>
      </c>
      <c r="E302" s="4" t="s">
        <v>10</v>
      </c>
      <c r="F302" s="4" t="s">
        <v>49</v>
      </c>
    </row>
    <row r="303" spans="1:6" x14ac:dyDescent="0.3">
      <c r="A303" s="12">
        <v>1</v>
      </c>
      <c r="B303" s="14">
        <v>1</v>
      </c>
      <c r="C303" s="13" t="s">
        <v>81</v>
      </c>
      <c r="D303" s="8" t="s">
        <v>29</v>
      </c>
      <c r="E303" s="15" t="s">
        <v>42</v>
      </c>
      <c r="F303" s="15" t="s">
        <v>71</v>
      </c>
    </row>
    <row r="304" spans="1:6" x14ac:dyDescent="0.3">
      <c r="A304" s="7">
        <v>1</v>
      </c>
      <c r="B304" s="4">
        <v>1</v>
      </c>
      <c r="C304" s="4" t="s">
        <v>81</v>
      </c>
      <c r="D304" s="4" t="s">
        <v>0</v>
      </c>
      <c r="E304" s="4" t="s">
        <v>41</v>
      </c>
      <c r="F304" s="4" t="s">
        <v>45</v>
      </c>
    </row>
    <row r="305" spans="1:12" x14ac:dyDescent="0.3">
      <c r="A305" s="12">
        <v>1</v>
      </c>
      <c r="B305" s="15">
        <v>2</v>
      </c>
      <c r="C305" s="15" t="s">
        <v>80</v>
      </c>
      <c r="D305" s="15" t="s">
        <v>40</v>
      </c>
      <c r="E305" s="15" t="s">
        <v>10</v>
      </c>
      <c r="F305" s="15" t="s">
        <v>45</v>
      </c>
    </row>
    <row r="306" spans="1:12" x14ac:dyDescent="0.3">
      <c r="A306" s="7">
        <v>1</v>
      </c>
      <c r="B306" s="4">
        <v>2</v>
      </c>
      <c r="C306" s="4" t="s">
        <v>80</v>
      </c>
      <c r="D306" s="4" t="s">
        <v>0</v>
      </c>
      <c r="E306" s="4" t="s">
        <v>41</v>
      </c>
      <c r="F306" s="4" t="s">
        <v>44</v>
      </c>
    </row>
    <row r="307" spans="1:12" x14ac:dyDescent="0.3">
      <c r="A307" s="12">
        <v>1</v>
      </c>
      <c r="B307" s="15">
        <v>1</v>
      </c>
      <c r="C307" s="15" t="s">
        <v>81</v>
      </c>
      <c r="D307" s="15" t="s">
        <v>40</v>
      </c>
      <c r="E307" s="15" t="s">
        <v>10</v>
      </c>
      <c r="F307" s="15" t="s">
        <v>44</v>
      </c>
    </row>
    <row r="308" spans="1:12" x14ac:dyDescent="0.3">
      <c r="A308" s="7">
        <v>1</v>
      </c>
      <c r="B308" s="14">
        <v>2</v>
      </c>
      <c r="C308" s="14" t="s">
        <v>80</v>
      </c>
      <c r="D308" s="8" t="s">
        <v>29</v>
      </c>
      <c r="E308" s="4" t="s">
        <v>42</v>
      </c>
      <c r="F308" s="4" t="s">
        <v>68</v>
      </c>
    </row>
    <row r="309" spans="1:12" x14ac:dyDescent="0.3">
      <c r="A309" s="12">
        <v>1</v>
      </c>
      <c r="B309" s="15">
        <v>1</v>
      </c>
      <c r="C309" s="15" t="s">
        <v>81</v>
      </c>
      <c r="D309" s="15" t="s">
        <v>0</v>
      </c>
      <c r="E309" s="15" t="s">
        <v>41</v>
      </c>
      <c r="F309" s="15" t="s">
        <v>46</v>
      </c>
    </row>
    <row r="310" spans="1:12" x14ac:dyDescent="0.3">
      <c r="A310" s="7">
        <v>1</v>
      </c>
      <c r="B310" s="4">
        <v>1</v>
      </c>
      <c r="C310" s="15" t="s">
        <v>81</v>
      </c>
      <c r="D310" s="4" t="s">
        <v>40</v>
      </c>
      <c r="E310" s="4" t="s">
        <v>9</v>
      </c>
      <c r="F310" s="4" t="s">
        <v>46</v>
      </c>
    </row>
    <row r="311" spans="1:12" x14ac:dyDescent="0.3">
      <c r="A311" s="12">
        <v>1</v>
      </c>
      <c r="B311" s="14">
        <v>1</v>
      </c>
      <c r="C311" s="13" t="s">
        <v>81</v>
      </c>
      <c r="D311" s="8" t="s">
        <v>29</v>
      </c>
      <c r="E311" s="15" t="s">
        <v>42</v>
      </c>
      <c r="F311" s="15" t="s">
        <v>67</v>
      </c>
    </row>
    <row r="312" spans="1:12" x14ac:dyDescent="0.3">
      <c r="A312" s="7">
        <v>1</v>
      </c>
      <c r="B312" s="14">
        <v>2</v>
      </c>
      <c r="C312" s="14" t="s">
        <v>80</v>
      </c>
      <c r="D312" s="8" t="s">
        <v>29</v>
      </c>
      <c r="E312" s="4" t="s">
        <v>42</v>
      </c>
      <c r="F312" s="4" t="s">
        <v>73</v>
      </c>
    </row>
    <row r="313" spans="1:12" x14ac:dyDescent="0.3">
      <c r="A313" s="12">
        <v>1</v>
      </c>
      <c r="B313" s="15">
        <v>1</v>
      </c>
      <c r="C313" s="15" t="s">
        <v>81</v>
      </c>
      <c r="D313" s="15" t="s">
        <v>0</v>
      </c>
      <c r="E313" s="15" t="s">
        <v>41</v>
      </c>
      <c r="F313" s="15" t="s">
        <v>43</v>
      </c>
      <c r="L313" t="s">
        <v>19</v>
      </c>
    </row>
    <row r="314" spans="1:12" x14ac:dyDescent="0.3">
      <c r="A314" s="7">
        <v>1</v>
      </c>
      <c r="B314" s="4">
        <v>1</v>
      </c>
      <c r="C314" s="15" t="s">
        <v>81</v>
      </c>
      <c r="D314" s="4" t="s">
        <v>40</v>
      </c>
      <c r="E314" s="4" t="s">
        <v>9</v>
      </c>
      <c r="F314" s="4" t="s">
        <v>43</v>
      </c>
    </row>
    <row r="315" spans="1:12" x14ac:dyDescent="0.3">
      <c r="A315" s="12">
        <v>1</v>
      </c>
      <c r="B315" s="15">
        <v>1</v>
      </c>
      <c r="C315" s="15" t="s">
        <v>81</v>
      </c>
      <c r="D315" s="15" t="s">
        <v>0</v>
      </c>
      <c r="E315" s="15" t="s">
        <v>41</v>
      </c>
      <c r="F315" s="15" t="s">
        <v>48</v>
      </c>
    </row>
    <row r="316" spans="1:12" x14ac:dyDescent="0.3">
      <c r="A316" s="7">
        <v>1</v>
      </c>
      <c r="B316" s="4">
        <v>2</v>
      </c>
      <c r="C316" s="4" t="s">
        <v>80</v>
      </c>
      <c r="D316" s="4" t="s">
        <v>40</v>
      </c>
      <c r="E316" s="4" t="s">
        <v>10</v>
      </c>
      <c r="F316" s="4" t="s">
        <v>48</v>
      </c>
    </row>
    <row r="317" spans="1:12" x14ac:dyDescent="0.3">
      <c r="A317" s="4">
        <v>2</v>
      </c>
      <c r="B317" s="4">
        <v>1</v>
      </c>
      <c r="C317" s="4" t="s">
        <v>81</v>
      </c>
      <c r="D317" s="4" t="s">
        <v>0</v>
      </c>
      <c r="E317" s="4" t="s">
        <v>41</v>
      </c>
      <c r="F317" s="4" t="s">
        <v>51</v>
      </c>
    </row>
    <row r="318" spans="1:12" x14ac:dyDescent="0.3">
      <c r="A318" s="4">
        <v>2</v>
      </c>
      <c r="B318" s="4">
        <v>1</v>
      </c>
      <c r="C318" s="4" t="s">
        <v>81</v>
      </c>
      <c r="D318" s="4" t="s">
        <v>40</v>
      </c>
      <c r="E318" s="4" t="s">
        <v>9</v>
      </c>
      <c r="F318" s="4" t="s">
        <v>51</v>
      </c>
    </row>
    <row r="319" spans="1:12" x14ac:dyDescent="0.3">
      <c r="A319" s="4">
        <v>2</v>
      </c>
      <c r="B319" s="9">
        <v>2</v>
      </c>
      <c r="C319" s="9" t="s">
        <v>80</v>
      </c>
      <c r="D319" s="9" t="s">
        <v>29</v>
      </c>
      <c r="E319" s="4" t="s">
        <v>42</v>
      </c>
      <c r="F319" s="4" t="s">
        <v>47</v>
      </c>
    </row>
    <row r="320" spans="1:12" x14ac:dyDescent="0.3">
      <c r="A320" s="15">
        <v>2</v>
      </c>
      <c r="B320" s="15">
        <v>1</v>
      </c>
      <c r="C320" s="15" t="s">
        <v>81</v>
      </c>
      <c r="D320" s="15" t="s">
        <v>0</v>
      </c>
      <c r="E320" s="15" t="s">
        <v>41</v>
      </c>
      <c r="F320" s="15" t="s">
        <v>55</v>
      </c>
    </row>
    <row r="321" spans="1:6" x14ac:dyDescent="0.3">
      <c r="A321" s="4">
        <v>2</v>
      </c>
      <c r="B321" s="4">
        <v>1</v>
      </c>
      <c r="C321" s="4" t="s">
        <v>81</v>
      </c>
      <c r="D321" s="4" t="s">
        <v>40</v>
      </c>
      <c r="E321" s="4" t="s">
        <v>9</v>
      </c>
      <c r="F321" s="4" t="s">
        <v>55</v>
      </c>
    </row>
    <row r="322" spans="1:6" x14ac:dyDescent="0.3">
      <c r="A322" s="15">
        <v>2</v>
      </c>
      <c r="B322" s="9">
        <v>2</v>
      </c>
      <c r="C322" s="9" t="s">
        <v>80</v>
      </c>
      <c r="D322" s="9" t="s">
        <v>29</v>
      </c>
      <c r="E322" s="15" t="s">
        <v>42</v>
      </c>
      <c r="F322" s="15" t="s">
        <v>50</v>
      </c>
    </row>
    <row r="323" spans="1:6" x14ac:dyDescent="0.3">
      <c r="A323" s="15">
        <v>2</v>
      </c>
      <c r="B323" s="15">
        <v>1</v>
      </c>
      <c r="C323" s="15" t="s">
        <v>81</v>
      </c>
      <c r="D323" s="15" t="s">
        <v>0</v>
      </c>
      <c r="E323" s="15" t="s">
        <v>41</v>
      </c>
      <c r="F323" s="15" t="s">
        <v>53</v>
      </c>
    </row>
    <row r="324" spans="1:6" x14ac:dyDescent="0.3">
      <c r="A324" s="4">
        <v>2</v>
      </c>
      <c r="B324" s="4">
        <v>1</v>
      </c>
      <c r="C324" s="33" t="s">
        <v>80</v>
      </c>
      <c r="D324" s="4" t="s">
        <v>40</v>
      </c>
      <c r="E324" s="4" t="s">
        <v>10</v>
      </c>
      <c r="F324" s="4" t="s">
        <v>53</v>
      </c>
    </row>
    <row r="325" spans="1:6" x14ac:dyDescent="0.3">
      <c r="A325" s="4">
        <v>2</v>
      </c>
      <c r="B325" s="4">
        <v>2</v>
      </c>
      <c r="C325" s="4" t="s">
        <v>80</v>
      </c>
      <c r="D325" s="4" t="s">
        <v>0</v>
      </c>
      <c r="E325" s="4" t="s">
        <v>41</v>
      </c>
      <c r="F325" s="4" t="s">
        <v>57</v>
      </c>
    </row>
    <row r="326" spans="1:6" x14ac:dyDescent="0.3">
      <c r="A326" s="4">
        <v>2</v>
      </c>
      <c r="B326" s="4">
        <v>1</v>
      </c>
      <c r="C326" s="4" t="s">
        <v>81</v>
      </c>
      <c r="D326" s="4" t="s">
        <v>40</v>
      </c>
      <c r="E326" s="4" t="s">
        <v>10</v>
      </c>
      <c r="F326" s="4" t="s">
        <v>57</v>
      </c>
    </row>
    <row r="327" spans="1:6" x14ac:dyDescent="0.3">
      <c r="A327" s="4">
        <v>2</v>
      </c>
      <c r="B327" s="9">
        <v>1</v>
      </c>
      <c r="C327" s="9" t="s">
        <v>81</v>
      </c>
      <c r="D327" s="9" t="s">
        <v>29</v>
      </c>
      <c r="E327" s="4" t="s">
        <v>42</v>
      </c>
      <c r="F327" s="4" t="s">
        <v>49</v>
      </c>
    </row>
    <row r="328" spans="1:6" x14ac:dyDescent="0.3">
      <c r="A328" s="15">
        <v>2</v>
      </c>
      <c r="B328" s="9">
        <v>2</v>
      </c>
      <c r="C328" s="9" t="s">
        <v>80</v>
      </c>
      <c r="D328" s="9" t="s">
        <v>29</v>
      </c>
      <c r="E328" s="15" t="s">
        <v>42</v>
      </c>
      <c r="F328" s="15" t="s">
        <v>45</v>
      </c>
    </row>
    <row r="329" spans="1:6" x14ac:dyDescent="0.3">
      <c r="A329" s="4">
        <v>2</v>
      </c>
      <c r="B329" s="9">
        <v>1</v>
      </c>
      <c r="C329" s="9" t="s">
        <v>81</v>
      </c>
      <c r="D329" s="9" t="s">
        <v>29</v>
      </c>
      <c r="E329" s="4" t="s">
        <v>42</v>
      </c>
      <c r="F329" s="4" t="s">
        <v>44</v>
      </c>
    </row>
    <row r="330" spans="1:6" x14ac:dyDescent="0.3">
      <c r="A330" s="15">
        <v>2</v>
      </c>
      <c r="B330" s="15">
        <v>1</v>
      </c>
      <c r="C330" s="15" t="s">
        <v>81</v>
      </c>
      <c r="D330" s="15" t="s">
        <v>0</v>
      </c>
      <c r="E330" s="15" t="s">
        <v>41</v>
      </c>
      <c r="F330" s="15" t="s">
        <v>52</v>
      </c>
    </row>
    <row r="331" spans="1:6" x14ac:dyDescent="0.3">
      <c r="A331" s="4">
        <v>2</v>
      </c>
      <c r="B331" s="4">
        <v>2</v>
      </c>
      <c r="C331" s="4" t="s">
        <v>80</v>
      </c>
      <c r="D331" s="4" t="s">
        <v>40</v>
      </c>
      <c r="E331" s="4" t="s">
        <v>10</v>
      </c>
      <c r="F331" s="4" t="s">
        <v>52</v>
      </c>
    </row>
    <row r="332" spans="1:6" x14ac:dyDescent="0.3">
      <c r="A332" s="15">
        <v>2</v>
      </c>
      <c r="B332" s="15">
        <v>2</v>
      </c>
      <c r="C332" s="15" t="s">
        <v>80</v>
      </c>
      <c r="D332" s="15" t="s">
        <v>0</v>
      </c>
      <c r="E332" s="15" t="s">
        <v>41</v>
      </c>
      <c r="F332" s="15" t="s">
        <v>56</v>
      </c>
    </row>
    <row r="333" spans="1:6" x14ac:dyDescent="0.3">
      <c r="A333" s="4">
        <v>2</v>
      </c>
      <c r="B333" s="4">
        <v>2</v>
      </c>
      <c r="C333" s="4" t="s">
        <v>80</v>
      </c>
      <c r="D333" s="4" t="s">
        <v>40</v>
      </c>
      <c r="E333" s="4" t="s">
        <v>9</v>
      </c>
      <c r="F333" s="4" t="s">
        <v>56</v>
      </c>
    </row>
    <row r="334" spans="1:6" x14ac:dyDescent="0.3">
      <c r="A334" s="15">
        <v>2</v>
      </c>
      <c r="B334" s="9">
        <v>1</v>
      </c>
      <c r="C334" s="9" t="s">
        <v>81</v>
      </c>
      <c r="D334" s="9" t="s">
        <v>29</v>
      </c>
      <c r="E334" s="15" t="s">
        <v>42</v>
      </c>
      <c r="F334" s="15" t="s">
        <v>46</v>
      </c>
    </row>
    <row r="335" spans="1:6" x14ac:dyDescent="0.3">
      <c r="A335" s="4">
        <v>2</v>
      </c>
      <c r="B335" s="4">
        <v>2</v>
      </c>
      <c r="C335" s="4" t="s">
        <v>80</v>
      </c>
      <c r="D335" s="4" t="s">
        <v>0</v>
      </c>
      <c r="E335" s="4" t="s">
        <v>41</v>
      </c>
      <c r="F335" s="4" t="s">
        <v>54</v>
      </c>
    </row>
    <row r="336" spans="1:6" x14ac:dyDescent="0.3">
      <c r="A336" s="4">
        <v>2</v>
      </c>
      <c r="B336" s="4">
        <v>2</v>
      </c>
      <c r="C336" s="4" t="s">
        <v>80</v>
      </c>
      <c r="D336" s="4" t="s">
        <v>40</v>
      </c>
      <c r="E336" s="4" t="s">
        <v>9</v>
      </c>
      <c r="F336" s="4" t="s">
        <v>54</v>
      </c>
    </row>
    <row r="337" spans="1:6" x14ac:dyDescent="0.3">
      <c r="A337" s="4">
        <v>2</v>
      </c>
      <c r="B337" s="9">
        <v>1</v>
      </c>
      <c r="C337" s="9" t="s">
        <v>81</v>
      </c>
      <c r="D337" s="9" t="s">
        <v>29</v>
      </c>
      <c r="E337" s="4" t="s">
        <v>42</v>
      </c>
      <c r="F337" s="4" t="s">
        <v>43</v>
      </c>
    </row>
    <row r="338" spans="1:6" x14ac:dyDescent="0.3">
      <c r="A338" s="15">
        <v>2</v>
      </c>
      <c r="B338" s="9">
        <v>2</v>
      </c>
      <c r="C338" s="9" t="s">
        <v>80</v>
      </c>
      <c r="D338" s="9" t="s">
        <v>29</v>
      </c>
      <c r="E338" s="15" t="s">
        <v>42</v>
      </c>
      <c r="F338" s="15" t="s">
        <v>48</v>
      </c>
    </row>
    <row r="339" spans="1:6" x14ac:dyDescent="0.3">
      <c r="A339" s="4">
        <v>2</v>
      </c>
      <c r="B339" s="4">
        <v>2</v>
      </c>
      <c r="C339" s="4" t="s">
        <v>80</v>
      </c>
      <c r="D339" s="4" t="s">
        <v>0</v>
      </c>
      <c r="E339" s="4" t="s">
        <v>41</v>
      </c>
      <c r="F339" s="4" t="s">
        <v>58</v>
      </c>
    </row>
    <row r="340" spans="1:6" x14ac:dyDescent="0.3">
      <c r="A340" s="4">
        <v>2</v>
      </c>
      <c r="B340" s="4">
        <v>1</v>
      </c>
      <c r="C340" s="4" t="s">
        <v>81</v>
      </c>
      <c r="D340" s="4" t="s">
        <v>40</v>
      </c>
      <c r="E340" s="4" t="s">
        <v>10</v>
      </c>
      <c r="F340" s="4" t="s">
        <v>58</v>
      </c>
    </row>
    <row r="341" spans="1:6" x14ac:dyDescent="0.3">
      <c r="A341" s="12">
        <v>3</v>
      </c>
      <c r="B341" s="15">
        <v>1</v>
      </c>
      <c r="C341" s="15" t="s">
        <v>81</v>
      </c>
      <c r="D341" s="15" t="s">
        <v>0</v>
      </c>
      <c r="E341" s="15" t="s">
        <v>41</v>
      </c>
      <c r="F341" s="15" t="s">
        <v>63</v>
      </c>
    </row>
    <row r="342" spans="1:6" x14ac:dyDescent="0.3">
      <c r="A342" s="7">
        <v>3</v>
      </c>
      <c r="B342" s="4">
        <v>2</v>
      </c>
      <c r="C342" s="4" t="s">
        <v>80</v>
      </c>
      <c r="D342" s="4" t="s">
        <v>40</v>
      </c>
      <c r="E342" s="4" t="s">
        <v>10</v>
      </c>
      <c r="F342" s="4" t="s">
        <v>63</v>
      </c>
    </row>
    <row r="343" spans="1:6" x14ac:dyDescent="0.3">
      <c r="A343" s="12">
        <v>3</v>
      </c>
      <c r="B343" s="15">
        <v>2</v>
      </c>
      <c r="C343" s="15" t="s">
        <v>80</v>
      </c>
      <c r="D343" s="15" t="s">
        <v>0</v>
      </c>
      <c r="E343" s="15" t="s">
        <v>41</v>
      </c>
      <c r="F343" s="15" t="s">
        <v>59</v>
      </c>
    </row>
    <row r="344" spans="1:6" x14ac:dyDescent="0.3">
      <c r="A344" s="7">
        <v>3</v>
      </c>
      <c r="B344" s="4">
        <v>1</v>
      </c>
      <c r="C344" s="4" t="s">
        <v>81</v>
      </c>
      <c r="D344" s="4" t="s">
        <v>40</v>
      </c>
      <c r="E344" s="4" t="s">
        <v>10</v>
      </c>
      <c r="F344" s="4" t="s">
        <v>59</v>
      </c>
    </row>
    <row r="345" spans="1:6" x14ac:dyDescent="0.3">
      <c r="A345" s="12">
        <v>3</v>
      </c>
      <c r="B345" s="10">
        <v>2</v>
      </c>
      <c r="C345" s="10" t="s">
        <v>80</v>
      </c>
      <c r="D345" s="10" t="s">
        <v>29</v>
      </c>
      <c r="E345" s="15" t="s">
        <v>42</v>
      </c>
      <c r="F345" s="15" t="s">
        <v>51</v>
      </c>
    </row>
    <row r="346" spans="1:6" x14ac:dyDescent="0.3">
      <c r="A346" s="7">
        <v>3</v>
      </c>
      <c r="B346" s="10">
        <v>1</v>
      </c>
      <c r="C346" s="10" t="s">
        <v>81</v>
      </c>
      <c r="D346" s="10" t="s">
        <v>29</v>
      </c>
      <c r="E346" s="4" t="s">
        <v>42</v>
      </c>
      <c r="F346" s="4" t="s">
        <v>55</v>
      </c>
    </row>
    <row r="347" spans="1:6" x14ac:dyDescent="0.3">
      <c r="A347" s="12">
        <v>3</v>
      </c>
      <c r="B347" s="15">
        <v>1</v>
      </c>
      <c r="C347" s="15" t="s">
        <v>81</v>
      </c>
      <c r="D347" s="15" t="s">
        <v>0</v>
      </c>
      <c r="E347" s="15" t="s">
        <v>41</v>
      </c>
      <c r="F347" s="15" t="s">
        <v>65</v>
      </c>
    </row>
    <row r="348" spans="1:6" x14ac:dyDescent="0.3">
      <c r="A348" s="7">
        <v>3</v>
      </c>
      <c r="B348" s="4">
        <v>2</v>
      </c>
      <c r="C348" s="4" t="s">
        <v>80</v>
      </c>
      <c r="D348" s="4" t="s">
        <v>40</v>
      </c>
      <c r="E348" s="4" t="s">
        <v>10</v>
      </c>
      <c r="F348" s="4" t="s">
        <v>65</v>
      </c>
    </row>
    <row r="349" spans="1:6" x14ac:dyDescent="0.3">
      <c r="A349" s="12">
        <v>3</v>
      </c>
      <c r="B349" s="10">
        <v>1</v>
      </c>
      <c r="C349" s="10" t="s">
        <v>81</v>
      </c>
      <c r="D349" s="10" t="s">
        <v>29</v>
      </c>
      <c r="E349" s="15" t="s">
        <v>42</v>
      </c>
      <c r="F349" s="15" t="s">
        <v>53</v>
      </c>
    </row>
    <row r="350" spans="1:6" x14ac:dyDescent="0.3">
      <c r="A350" s="7">
        <v>3</v>
      </c>
      <c r="B350" s="4">
        <v>2</v>
      </c>
      <c r="C350" s="4" t="s">
        <v>80</v>
      </c>
      <c r="D350" s="4" t="s">
        <v>0</v>
      </c>
      <c r="E350" s="4" t="s">
        <v>41</v>
      </c>
      <c r="F350" s="4" t="s">
        <v>61</v>
      </c>
    </row>
    <row r="351" spans="1:6" x14ac:dyDescent="0.3">
      <c r="A351" s="12">
        <v>3</v>
      </c>
      <c r="B351" s="15">
        <v>2</v>
      </c>
      <c r="C351" s="15" t="s">
        <v>80</v>
      </c>
      <c r="D351" s="15" t="s">
        <v>40</v>
      </c>
      <c r="E351" s="15" t="s">
        <v>9</v>
      </c>
      <c r="F351" s="15" t="s">
        <v>61</v>
      </c>
    </row>
    <row r="352" spans="1:6" x14ac:dyDescent="0.3">
      <c r="A352" s="7">
        <v>3</v>
      </c>
      <c r="B352" s="10">
        <v>1</v>
      </c>
      <c r="C352" s="10" t="s">
        <v>81</v>
      </c>
      <c r="D352" s="10" t="s">
        <v>29</v>
      </c>
      <c r="E352" s="4" t="s">
        <v>42</v>
      </c>
      <c r="F352" s="4" t="s">
        <v>57</v>
      </c>
    </row>
    <row r="353" spans="1:6" x14ac:dyDescent="0.3">
      <c r="A353" s="12">
        <v>3</v>
      </c>
      <c r="B353" s="10">
        <v>1</v>
      </c>
      <c r="C353" s="10" t="s">
        <v>81</v>
      </c>
      <c r="D353" s="10" t="s">
        <v>29</v>
      </c>
      <c r="E353" s="15" t="s">
        <v>42</v>
      </c>
      <c r="F353" s="15" t="s">
        <v>52</v>
      </c>
    </row>
    <row r="354" spans="1:6" x14ac:dyDescent="0.3">
      <c r="A354" s="7">
        <v>3</v>
      </c>
      <c r="B354" s="4">
        <v>2</v>
      </c>
      <c r="C354" s="4" t="s">
        <v>80</v>
      </c>
      <c r="D354" s="4" t="s">
        <v>0</v>
      </c>
      <c r="E354" s="4" t="s">
        <v>41</v>
      </c>
      <c r="F354" s="4" t="s">
        <v>60</v>
      </c>
    </row>
    <row r="355" spans="1:6" x14ac:dyDescent="0.3">
      <c r="A355" s="12">
        <v>3</v>
      </c>
      <c r="B355" s="15">
        <v>2</v>
      </c>
      <c r="C355" s="15" t="s">
        <v>80</v>
      </c>
      <c r="D355" s="15" t="s">
        <v>40</v>
      </c>
      <c r="E355" s="15" t="s">
        <v>9</v>
      </c>
      <c r="F355" s="15" t="s">
        <v>60</v>
      </c>
    </row>
    <row r="356" spans="1:6" x14ac:dyDescent="0.3">
      <c r="A356" s="7">
        <v>3</v>
      </c>
      <c r="B356" s="4">
        <v>2</v>
      </c>
      <c r="C356" s="4" t="s">
        <v>80</v>
      </c>
      <c r="D356" s="4" t="s">
        <v>0</v>
      </c>
      <c r="E356" s="4" t="s">
        <v>41</v>
      </c>
      <c r="F356" s="4" t="s">
        <v>66</v>
      </c>
    </row>
    <row r="357" spans="1:6" x14ac:dyDescent="0.3">
      <c r="A357" s="12">
        <v>3</v>
      </c>
      <c r="B357" s="15">
        <v>1</v>
      </c>
      <c r="C357" s="15" t="s">
        <v>81</v>
      </c>
      <c r="D357" s="15" t="s">
        <v>40</v>
      </c>
      <c r="E357" s="15" t="s">
        <v>10</v>
      </c>
      <c r="F357" s="15" t="s">
        <v>66</v>
      </c>
    </row>
    <row r="358" spans="1:6" x14ac:dyDescent="0.3">
      <c r="A358" s="7">
        <v>3</v>
      </c>
      <c r="B358" s="10">
        <v>2</v>
      </c>
      <c r="C358" s="10" t="s">
        <v>80</v>
      </c>
      <c r="D358" s="10" t="s">
        <v>29</v>
      </c>
      <c r="E358" s="4" t="s">
        <v>42</v>
      </c>
      <c r="F358" s="4" t="s">
        <v>56</v>
      </c>
    </row>
    <row r="359" spans="1:6" x14ac:dyDescent="0.3">
      <c r="A359" s="12">
        <v>3</v>
      </c>
      <c r="B359" s="10">
        <v>2</v>
      </c>
      <c r="C359" s="10" t="s">
        <v>80</v>
      </c>
      <c r="D359" s="10" t="s">
        <v>29</v>
      </c>
      <c r="E359" s="15" t="s">
        <v>42</v>
      </c>
      <c r="F359" s="15" t="s">
        <v>54</v>
      </c>
    </row>
    <row r="360" spans="1:6" x14ac:dyDescent="0.3">
      <c r="A360" s="7">
        <v>3</v>
      </c>
      <c r="B360" s="4">
        <v>1</v>
      </c>
      <c r="C360" s="4" t="s">
        <v>81</v>
      </c>
      <c r="D360" s="4" t="s">
        <v>0</v>
      </c>
      <c r="E360" s="4" t="s">
        <v>41</v>
      </c>
      <c r="F360" s="4" t="s">
        <v>64</v>
      </c>
    </row>
    <row r="361" spans="1:6" x14ac:dyDescent="0.3">
      <c r="A361" s="12">
        <v>3</v>
      </c>
      <c r="B361" s="15">
        <v>1</v>
      </c>
      <c r="C361" s="15" t="s">
        <v>81</v>
      </c>
      <c r="D361" s="15" t="s">
        <v>40</v>
      </c>
      <c r="E361" s="15" t="s">
        <v>9</v>
      </c>
      <c r="F361" s="15" t="s">
        <v>64</v>
      </c>
    </row>
    <row r="362" spans="1:6" x14ac:dyDescent="0.3">
      <c r="A362" s="7">
        <v>3</v>
      </c>
      <c r="B362" s="10">
        <v>2</v>
      </c>
      <c r="C362" s="10" t="s">
        <v>80</v>
      </c>
      <c r="D362" s="10" t="s">
        <v>29</v>
      </c>
      <c r="E362" s="4" t="s">
        <v>42</v>
      </c>
      <c r="F362" s="4" t="s">
        <v>58</v>
      </c>
    </row>
    <row r="363" spans="1:6" x14ac:dyDescent="0.3">
      <c r="A363" s="12">
        <v>3</v>
      </c>
      <c r="B363" s="15">
        <v>1</v>
      </c>
      <c r="C363" s="15" t="s">
        <v>81</v>
      </c>
      <c r="D363" s="15" t="s">
        <v>0</v>
      </c>
      <c r="E363" s="15" t="s">
        <v>41</v>
      </c>
      <c r="F363" s="15" t="s">
        <v>62</v>
      </c>
    </row>
    <row r="364" spans="1:6" x14ac:dyDescent="0.3">
      <c r="A364" s="7">
        <v>3</v>
      </c>
      <c r="B364" s="4">
        <v>1</v>
      </c>
      <c r="C364" s="4" t="s">
        <v>81</v>
      </c>
      <c r="D364" s="4" t="s">
        <v>40</v>
      </c>
      <c r="E364" s="4" t="s">
        <v>9</v>
      </c>
      <c r="F364" s="4" t="s">
        <v>62</v>
      </c>
    </row>
    <row r="365" spans="1:6" x14ac:dyDescent="0.3">
      <c r="A365" s="4">
        <v>4</v>
      </c>
      <c r="B365" s="11">
        <v>2</v>
      </c>
      <c r="C365" s="11" t="s">
        <v>80</v>
      </c>
      <c r="D365" s="11" t="s">
        <v>29</v>
      </c>
      <c r="E365" s="4" t="s">
        <v>42</v>
      </c>
      <c r="F365" s="4" t="s">
        <v>63</v>
      </c>
    </row>
    <row r="366" spans="1:6" x14ac:dyDescent="0.3">
      <c r="A366" s="15">
        <v>4</v>
      </c>
      <c r="B366" s="11">
        <v>2</v>
      </c>
      <c r="C366" s="11" t="s">
        <v>80</v>
      </c>
      <c r="D366" s="11" t="s">
        <v>29</v>
      </c>
      <c r="E366" s="15" t="s">
        <v>42</v>
      </c>
      <c r="F366" s="15" t="s">
        <v>59</v>
      </c>
    </row>
    <row r="367" spans="1:6" x14ac:dyDescent="0.3">
      <c r="A367" s="4">
        <v>4</v>
      </c>
      <c r="B367" s="4">
        <v>1</v>
      </c>
      <c r="C367" s="4" t="s">
        <v>81</v>
      </c>
      <c r="D367" s="4" t="s">
        <v>0</v>
      </c>
      <c r="E367" s="4" t="s">
        <v>41</v>
      </c>
      <c r="F367" s="4" t="s">
        <v>69</v>
      </c>
    </row>
    <row r="368" spans="1:6" x14ac:dyDescent="0.3">
      <c r="A368" s="15">
        <v>4</v>
      </c>
      <c r="B368" s="15">
        <v>1</v>
      </c>
      <c r="C368" s="15" t="s">
        <v>81</v>
      </c>
      <c r="D368" s="15" t="s">
        <v>40</v>
      </c>
      <c r="E368" s="15" t="s">
        <v>9</v>
      </c>
      <c r="F368" s="15" t="s">
        <v>69</v>
      </c>
    </row>
    <row r="369" spans="1:6" x14ac:dyDescent="0.3">
      <c r="A369" s="4">
        <v>4</v>
      </c>
      <c r="B369" s="4">
        <v>1</v>
      </c>
      <c r="C369" s="4" t="s">
        <v>81</v>
      </c>
      <c r="D369" s="4" t="s">
        <v>0</v>
      </c>
      <c r="E369" s="4" t="s">
        <v>41</v>
      </c>
      <c r="F369" s="4" t="s">
        <v>72</v>
      </c>
    </row>
    <row r="370" spans="1:6" x14ac:dyDescent="0.3">
      <c r="A370" s="15">
        <v>4</v>
      </c>
      <c r="B370" s="15">
        <v>2</v>
      </c>
      <c r="C370" s="15" t="s">
        <v>80</v>
      </c>
      <c r="D370" s="15" t="s">
        <v>40</v>
      </c>
      <c r="E370" s="15" t="s">
        <v>10</v>
      </c>
      <c r="F370" s="15" t="s">
        <v>72</v>
      </c>
    </row>
    <row r="371" spans="1:6" x14ac:dyDescent="0.3">
      <c r="A371" s="4">
        <v>4</v>
      </c>
      <c r="B371" s="11">
        <v>1</v>
      </c>
      <c r="C371" s="11" t="s">
        <v>81</v>
      </c>
      <c r="D371" s="11" t="s">
        <v>29</v>
      </c>
      <c r="E371" s="4" t="s">
        <v>42</v>
      </c>
      <c r="F371" s="4" t="s">
        <v>65</v>
      </c>
    </row>
    <row r="372" spans="1:6" x14ac:dyDescent="0.3">
      <c r="A372" s="15">
        <v>4</v>
      </c>
      <c r="B372" s="15">
        <v>2</v>
      </c>
      <c r="C372" s="15" t="s">
        <v>80</v>
      </c>
      <c r="D372" s="15" t="s">
        <v>0</v>
      </c>
      <c r="E372" s="15" t="s">
        <v>41</v>
      </c>
      <c r="F372" s="15" t="s">
        <v>70</v>
      </c>
    </row>
    <row r="373" spans="1:6" x14ac:dyDescent="0.3">
      <c r="A373" s="4">
        <v>4</v>
      </c>
      <c r="B373" s="4">
        <v>2</v>
      </c>
      <c r="C373" s="4" t="s">
        <v>80</v>
      </c>
      <c r="D373" s="4" t="s">
        <v>40</v>
      </c>
      <c r="E373" s="4" t="s">
        <v>9</v>
      </c>
      <c r="F373" s="4" t="s">
        <v>70</v>
      </c>
    </row>
    <row r="374" spans="1:6" x14ac:dyDescent="0.3">
      <c r="A374" s="15">
        <v>4</v>
      </c>
      <c r="B374" s="15">
        <v>2</v>
      </c>
      <c r="C374" s="15" t="s">
        <v>80</v>
      </c>
      <c r="D374" s="15" t="s">
        <v>0</v>
      </c>
      <c r="E374" s="15" t="s">
        <v>41</v>
      </c>
      <c r="F374" s="15" t="s">
        <v>74</v>
      </c>
    </row>
    <row r="375" spans="1:6" x14ac:dyDescent="0.3">
      <c r="A375" s="4">
        <v>4</v>
      </c>
      <c r="B375" s="4">
        <v>1</v>
      </c>
      <c r="C375" s="4" t="s">
        <v>81</v>
      </c>
      <c r="D375" s="4" t="s">
        <v>40</v>
      </c>
      <c r="E375" s="4" t="s">
        <v>10</v>
      </c>
      <c r="F375" s="4" t="s">
        <v>74</v>
      </c>
    </row>
    <row r="376" spans="1:6" x14ac:dyDescent="0.3">
      <c r="A376" s="15">
        <v>4</v>
      </c>
      <c r="B376" s="11">
        <v>2</v>
      </c>
      <c r="C376" s="11" t="s">
        <v>80</v>
      </c>
      <c r="D376" s="11" t="s">
        <v>29</v>
      </c>
      <c r="E376" s="15" t="s">
        <v>42</v>
      </c>
      <c r="F376" s="15" t="s">
        <v>61</v>
      </c>
    </row>
    <row r="377" spans="1:6" x14ac:dyDescent="0.3">
      <c r="A377" s="4">
        <v>4</v>
      </c>
      <c r="B377" s="4">
        <v>1</v>
      </c>
      <c r="C377" s="4" t="s">
        <v>81</v>
      </c>
      <c r="D377" s="4" t="s">
        <v>0</v>
      </c>
      <c r="E377" s="4" t="s">
        <v>41</v>
      </c>
      <c r="F377" s="4" t="s">
        <v>71</v>
      </c>
    </row>
    <row r="378" spans="1:6" x14ac:dyDescent="0.3">
      <c r="A378" s="15">
        <v>4</v>
      </c>
      <c r="B378" s="15">
        <v>2</v>
      </c>
      <c r="C378" s="15" t="s">
        <v>80</v>
      </c>
      <c r="D378" s="15" t="s">
        <v>40</v>
      </c>
      <c r="E378" s="15" t="s">
        <v>10</v>
      </c>
      <c r="F378" s="15" t="s">
        <v>71</v>
      </c>
    </row>
    <row r="379" spans="1:6" x14ac:dyDescent="0.3">
      <c r="A379" s="4">
        <v>4</v>
      </c>
      <c r="B379" s="4">
        <v>2</v>
      </c>
      <c r="C379" s="4" t="s">
        <v>80</v>
      </c>
      <c r="D379" s="4" t="s">
        <v>0</v>
      </c>
      <c r="E379" s="4" t="s">
        <v>41</v>
      </c>
      <c r="F379" s="4" t="s">
        <v>68</v>
      </c>
    </row>
    <row r="380" spans="1:6" x14ac:dyDescent="0.3">
      <c r="A380" s="15">
        <v>4</v>
      </c>
      <c r="B380" s="15">
        <v>2</v>
      </c>
      <c r="C380" s="15" t="s">
        <v>80</v>
      </c>
      <c r="D380" s="15" t="s">
        <v>40</v>
      </c>
      <c r="E380" s="15" t="s">
        <v>9</v>
      </c>
      <c r="F380" s="15" t="s">
        <v>68</v>
      </c>
    </row>
    <row r="381" spans="1:6" x14ac:dyDescent="0.3">
      <c r="A381" s="15">
        <v>4</v>
      </c>
      <c r="B381" s="11">
        <v>1</v>
      </c>
      <c r="C381" s="11" t="s">
        <v>81</v>
      </c>
      <c r="D381" s="11" t="s">
        <v>29</v>
      </c>
      <c r="E381" s="15" t="s">
        <v>42</v>
      </c>
      <c r="F381" s="15" t="s">
        <v>60</v>
      </c>
    </row>
    <row r="382" spans="1:6" x14ac:dyDescent="0.3">
      <c r="A382" s="4">
        <v>4</v>
      </c>
      <c r="B382" s="11">
        <v>1</v>
      </c>
      <c r="C382" s="11" t="s">
        <v>81</v>
      </c>
      <c r="D382" s="11" t="s">
        <v>29</v>
      </c>
      <c r="E382" s="4" t="s">
        <v>42</v>
      </c>
      <c r="F382" s="4" t="s">
        <v>66</v>
      </c>
    </row>
    <row r="383" spans="1:6" x14ac:dyDescent="0.3">
      <c r="A383" s="4">
        <v>4</v>
      </c>
      <c r="B383" s="4">
        <v>2</v>
      </c>
      <c r="C383" s="4" t="s">
        <v>80</v>
      </c>
      <c r="D383" s="4" t="s">
        <v>0</v>
      </c>
      <c r="E383" s="4" t="s">
        <v>41</v>
      </c>
      <c r="F383" s="4" t="s">
        <v>67</v>
      </c>
    </row>
    <row r="384" spans="1:6" x14ac:dyDescent="0.3">
      <c r="A384" s="15">
        <v>4</v>
      </c>
      <c r="B384" s="15">
        <v>1</v>
      </c>
      <c r="C384" s="15" t="s">
        <v>81</v>
      </c>
      <c r="D384" s="15" t="s">
        <v>40</v>
      </c>
      <c r="E384" s="15" t="s">
        <v>10</v>
      </c>
      <c r="F384" s="15" t="s">
        <v>67</v>
      </c>
    </row>
    <row r="385" spans="1:6" x14ac:dyDescent="0.3">
      <c r="A385" s="4">
        <v>4</v>
      </c>
      <c r="B385" s="4">
        <v>1</v>
      </c>
      <c r="C385" s="4" t="s">
        <v>81</v>
      </c>
      <c r="D385" s="4" t="s">
        <v>0</v>
      </c>
      <c r="E385" s="4" t="s">
        <v>41</v>
      </c>
      <c r="F385" s="4" t="s">
        <v>73</v>
      </c>
    </row>
    <row r="386" spans="1:6" x14ac:dyDescent="0.3">
      <c r="A386" s="15">
        <v>4</v>
      </c>
      <c r="B386" s="15">
        <v>1</v>
      </c>
      <c r="C386" s="15" t="s">
        <v>81</v>
      </c>
      <c r="D386" s="15" t="s">
        <v>40</v>
      </c>
      <c r="E386" s="15" t="s">
        <v>9</v>
      </c>
      <c r="F386" s="15" t="s">
        <v>73</v>
      </c>
    </row>
    <row r="387" spans="1:6" x14ac:dyDescent="0.3">
      <c r="A387" s="4">
        <v>4</v>
      </c>
      <c r="B387" s="11">
        <v>2</v>
      </c>
      <c r="C387" s="11" t="s">
        <v>80</v>
      </c>
      <c r="D387" s="11" t="s">
        <v>29</v>
      </c>
      <c r="E387" s="4" t="s">
        <v>42</v>
      </c>
      <c r="F387" s="4" t="s">
        <v>64</v>
      </c>
    </row>
    <row r="388" spans="1:6" x14ac:dyDescent="0.3">
      <c r="A388" s="15">
        <v>4</v>
      </c>
      <c r="B388" s="11">
        <v>1</v>
      </c>
      <c r="C388" s="11" t="s">
        <v>81</v>
      </c>
      <c r="D388" s="11" t="s">
        <v>29</v>
      </c>
      <c r="E388" s="15" t="s">
        <v>42</v>
      </c>
      <c r="F388" s="15" t="s">
        <v>62</v>
      </c>
    </row>
  </sheetData>
  <pageMargins left="0.7" right="0.7" top="0.75" bottom="0.75" header="0.3" footer="0.3"/>
  <pageSetup paperSize="9" fitToWidth="0" orientation="portrait" horizontalDpi="360" verticalDpi="36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88"/>
  <sheetViews>
    <sheetView topLeftCell="A274" zoomScale="80" zoomScaleNormal="80" workbookViewId="0">
      <selection activeCell="O294" sqref="O294"/>
    </sheetView>
  </sheetViews>
  <sheetFormatPr defaultRowHeight="14.4" x14ac:dyDescent="0.3"/>
  <cols>
    <col min="2" max="2" width="11.6640625" customWidth="1"/>
    <col min="3" max="3" width="11" customWidth="1"/>
    <col min="5" max="5" width="12" customWidth="1"/>
    <col min="6" max="6" width="10.6640625" customWidth="1"/>
  </cols>
  <sheetData>
    <row r="1" spans="1:6" x14ac:dyDescent="0.3">
      <c r="A1" s="21" t="s">
        <v>83</v>
      </c>
      <c r="B1" s="21" t="s">
        <v>75</v>
      </c>
      <c r="C1" s="21" t="s">
        <v>76</v>
      </c>
      <c r="D1" s="21" t="s">
        <v>77</v>
      </c>
      <c r="E1" s="21" t="s">
        <v>78</v>
      </c>
      <c r="F1" s="21" t="s">
        <v>79</v>
      </c>
    </row>
    <row r="2" spans="1:6" x14ac:dyDescent="0.3">
      <c r="A2" s="12">
        <v>1</v>
      </c>
      <c r="B2" s="14">
        <v>2</v>
      </c>
      <c r="C2" s="13" t="s">
        <v>80</v>
      </c>
      <c r="D2" s="8" t="s">
        <v>29</v>
      </c>
      <c r="E2" s="15" t="s">
        <v>42</v>
      </c>
      <c r="F2" s="15" t="s">
        <v>71</v>
      </c>
    </row>
    <row r="3" spans="1:6" x14ac:dyDescent="0.3">
      <c r="A3" s="7">
        <v>1</v>
      </c>
      <c r="B3" s="7">
        <v>2</v>
      </c>
      <c r="C3" s="7" t="s">
        <v>80</v>
      </c>
      <c r="D3" s="4" t="s">
        <v>0</v>
      </c>
      <c r="E3" s="4" t="s">
        <v>41</v>
      </c>
      <c r="F3" s="4" t="s">
        <v>49</v>
      </c>
    </row>
    <row r="4" spans="1:6" x14ac:dyDescent="0.3">
      <c r="A4" s="12">
        <v>1</v>
      </c>
      <c r="B4" s="12">
        <v>2</v>
      </c>
      <c r="C4" s="12" t="s">
        <v>80</v>
      </c>
      <c r="D4" s="15" t="s">
        <v>40</v>
      </c>
      <c r="E4" s="15" t="s">
        <v>9</v>
      </c>
      <c r="F4" s="15" t="s">
        <v>49</v>
      </c>
    </row>
    <row r="5" spans="1:6" x14ac:dyDescent="0.3">
      <c r="A5" s="7">
        <v>1</v>
      </c>
      <c r="B5" s="14">
        <v>1</v>
      </c>
      <c r="C5" s="14" t="s">
        <v>81</v>
      </c>
      <c r="D5" s="8" t="s">
        <v>29</v>
      </c>
      <c r="E5" s="4" t="s">
        <v>42</v>
      </c>
      <c r="F5" s="4" t="s">
        <v>69</v>
      </c>
    </row>
    <row r="6" spans="1:6" x14ac:dyDescent="0.3">
      <c r="A6" s="12">
        <v>1</v>
      </c>
      <c r="B6" s="14">
        <v>1</v>
      </c>
      <c r="C6" s="14" t="s">
        <v>81</v>
      </c>
      <c r="D6" s="8" t="s">
        <v>29</v>
      </c>
      <c r="E6" s="15" t="s">
        <v>42</v>
      </c>
      <c r="F6" s="15" t="s">
        <v>73</v>
      </c>
    </row>
    <row r="7" spans="1:6" x14ac:dyDescent="0.3">
      <c r="A7" s="7">
        <v>1</v>
      </c>
      <c r="B7" s="7">
        <v>2</v>
      </c>
      <c r="C7" s="7" t="s">
        <v>80</v>
      </c>
      <c r="D7" s="4" t="s">
        <v>0</v>
      </c>
      <c r="E7" s="4" t="s">
        <v>41</v>
      </c>
      <c r="F7" s="4" t="s">
        <v>48</v>
      </c>
    </row>
    <row r="8" spans="1:6" x14ac:dyDescent="0.3">
      <c r="A8" s="12">
        <v>1</v>
      </c>
      <c r="B8" s="12">
        <v>2</v>
      </c>
      <c r="C8" s="12" t="s">
        <v>80</v>
      </c>
      <c r="D8" s="15" t="s">
        <v>40</v>
      </c>
      <c r="E8" s="15" t="s">
        <v>9</v>
      </c>
      <c r="F8" s="15" t="s">
        <v>48</v>
      </c>
    </row>
    <row r="9" spans="1:6" x14ac:dyDescent="0.3">
      <c r="A9" s="7">
        <v>1</v>
      </c>
      <c r="B9" s="7">
        <v>2</v>
      </c>
      <c r="C9" s="7" t="s">
        <v>80</v>
      </c>
      <c r="D9" s="4" t="s">
        <v>0</v>
      </c>
      <c r="E9" s="4" t="s">
        <v>41</v>
      </c>
      <c r="F9" s="4" t="s">
        <v>50</v>
      </c>
    </row>
    <row r="10" spans="1:6" x14ac:dyDescent="0.3">
      <c r="A10" s="12">
        <v>1</v>
      </c>
      <c r="B10" s="12">
        <v>1</v>
      </c>
      <c r="C10" s="12" t="s">
        <v>81</v>
      </c>
      <c r="D10" s="15" t="s">
        <v>40</v>
      </c>
      <c r="E10" s="15" t="s">
        <v>10</v>
      </c>
      <c r="F10" s="15" t="s">
        <v>50</v>
      </c>
    </row>
    <row r="11" spans="1:6" x14ac:dyDescent="0.3">
      <c r="A11" s="7">
        <v>1</v>
      </c>
      <c r="B11" s="14">
        <v>2</v>
      </c>
      <c r="C11" s="14" t="s">
        <v>80</v>
      </c>
      <c r="D11" s="8" t="s">
        <v>29</v>
      </c>
      <c r="E11" s="4" t="s">
        <v>42</v>
      </c>
      <c r="F11" s="4" t="s">
        <v>70</v>
      </c>
    </row>
    <row r="12" spans="1:6" x14ac:dyDescent="0.3">
      <c r="A12" s="12">
        <v>1</v>
      </c>
      <c r="B12" s="12">
        <v>1</v>
      </c>
      <c r="C12" s="12" t="s">
        <v>81</v>
      </c>
      <c r="D12" s="15" t="s">
        <v>0</v>
      </c>
      <c r="E12" s="15" t="s">
        <v>41</v>
      </c>
      <c r="F12" s="15" t="s">
        <v>43</v>
      </c>
    </row>
    <row r="13" spans="1:6" x14ac:dyDescent="0.3">
      <c r="A13" s="7">
        <v>1</v>
      </c>
      <c r="B13" s="7">
        <v>2</v>
      </c>
      <c r="C13" s="7" t="s">
        <v>80</v>
      </c>
      <c r="D13" s="4" t="s">
        <v>40</v>
      </c>
      <c r="E13" s="4" t="s">
        <v>10</v>
      </c>
      <c r="F13" s="4" t="s">
        <v>43</v>
      </c>
    </row>
    <row r="14" spans="1:6" x14ac:dyDescent="0.3">
      <c r="A14" s="12">
        <v>1</v>
      </c>
      <c r="B14" s="12">
        <v>2</v>
      </c>
      <c r="C14" s="12" t="s">
        <v>80</v>
      </c>
      <c r="D14" s="15" t="s">
        <v>0</v>
      </c>
      <c r="E14" s="15" t="s">
        <v>41</v>
      </c>
      <c r="F14" s="15" t="s">
        <v>46</v>
      </c>
    </row>
    <row r="15" spans="1:6" x14ac:dyDescent="0.3">
      <c r="A15" s="7">
        <v>1</v>
      </c>
      <c r="B15" s="7">
        <v>1</v>
      </c>
      <c r="C15" s="7" t="s">
        <v>81</v>
      </c>
      <c r="D15" s="4" t="s">
        <v>40</v>
      </c>
      <c r="E15" s="4" t="s">
        <v>10</v>
      </c>
      <c r="F15" s="4" t="s">
        <v>46</v>
      </c>
    </row>
    <row r="16" spans="1:6" x14ac:dyDescent="0.3">
      <c r="A16" s="12">
        <v>1</v>
      </c>
      <c r="B16" s="14">
        <v>1</v>
      </c>
      <c r="C16" s="13" t="s">
        <v>81</v>
      </c>
      <c r="D16" s="8" t="s">
        <v>29</v>
      </c>
      <c r="E16" s="15" t="s">
        <v>42</v>
      </c>
      <c r="F16" s="15" t="s">
        <v>74</v>
      </c>
    </row>
    <row r="17" spans="1:6" x14ac:dyDescent="0.3">
      <c r="A17" s="7">
        <v>1</v>
      </c>
      <c r="B17" s="14">
        <v>2</v>
      </c>
      <c r="C17" s="14" t="s">
        <v>80</v>
      </c>
      <c r="D17" s="8" t="s">
        <v>29</v>
      </c>
      <c r="E17" s="4" t="s">
        <v>42</v>
      </c>
      <c r="F17" s="4" t="s">
        <v>67</v>
      </c>
    </row>
    <row r="18" spans="1:6" x14ac:dyDescent="0.3">
      <c r="A18" s="12">
        <v>1</v>
      </c>
      <c r="B18" s="12">
        <v>1</v>
      </c>
      <c r="C18" s="12" t="s">
        <v>81</v>
      </c>
      <c r="D18" s="15" t="s">
        <v>0</v>
      </c>
      <c r="E18" s="15" t="s">
        <v>41</v>
      </c>
      <c r="F18" s="15" t="s">
        <v>44</v>
      </c>
    </row>
    <row r="19" spans="1:6" x14ac:dyDescent="0.3">
      <c r="A19" s="7">
        <v>1</v>
      </c>
      <c r="B19" s="7">
        <v>1</v>
      </c>
      <c r="C19" s="12" t="s">
        <v>81</v>
      </c>
      <c r="D19" s="4" t="s">
        <v>40</v>
      </c>
      <c r="E19" s="4" t="s">
        <v>9</v>
      </c>
      <c r="F19" s="4" t="s">
        <v>44</v>
      </c>
    </row>
    <row r="20" spans="1:6" x14ac:dyDescent="0.3">
      <c r="A20" s="12">
        <v>1</v>
      </c>
      <c r="B20" s="14">
        <v>1</v>
      </c>
      <c r="C20" s="13" t="s">
        <v>81</v>
      </c>
      <c r="D20" s="8" t="s">
        <v>29</v>
      </c>
      <c r="E20" s="15" t="s">
        <v>42</v>
      </c>
      <c r="F20" s="15" t="s">
        <v>72</v>
      </c>
    </row>
    <row r="21" spans="1:6" x14ac:dyDescent="0.3">
      <c r="A21" s="7">
        <v>1</v>
      </c>
      <c r="B21" s="14">
        <v>2</v>
      </c>
      <c r="C21" s="14" t="s">
        <v>80</v>
      </c>
      <c r="D21" s="8" t="s">
        <v>29</v>
      </c>
      <c r="E21" s="4" t="s">
        <v>42</v>
      </c>
      <c r="F21" s="4" t="s">
        <v>68</v>
      </c>
    </row>
    <row r="22" spans="1:6" x14ac:dyDescent="0.3">
      <c r="A22" s="12">
        <v>1</v>
      </c>
      <c r="B22" s="12">
        <v>1</v>
      </c>
      <c r="C22" s="12" t="s">
        <v>81</v>
      </c>
      <c r="D22" s="15" t="s">
        <v>0</v>
      </c>
      <c r="E22" s="15" t="s">
        <v>41</v>
      </c>
      <c r="F22" s="15" t="s">
        <v>45</v>
      </c>
    </row>
    <row r="23" spans="1:6" x14ac:dyDescent="0.3">
      <c r="A23" s="7">
        <v>1</v>
      </c>
      <c r="B23" s="7">
        <v>1</v>
      </c>
      <c r="C23" s="12" t="s">
        <v>81</v>
      </c>
      <c r="D23" s="4" t="s">
        <v>40</v>
      </c>
      <c r="E23" s="4" t="s">
        <v>9</v>
      </c>
      <c r="F23" s="4" t="s">
        <v>45</v>
      </c>
    </row>
    <row r="24" spans="1:6" x14ac:dyDescent="0.3">
      <c r="A24" s="12">
        <v>1</v>
      </c>
      <c r="B24" s="12">
        <v>1</v>
      </c>
      <c r="C24" s="12" t="s">
        <v>81</v>
      </c>
      <c r="D24" s="15" t="s">
        <v>0</v>
      </c>
      <c r="E24" s="15" t="s">
        <v>41</v>
      </c>
      <c r="F24" s="15" t="s">
        <v>47</v>
      </c>
    </row>
    <row r="25" spans="1:6" x14ac:dyDescent="0.3">
      <c r="A25" s="7">
        <v>1</v>
      </c>
      <c r="B25" s="7">
        <v>2</v>
      </c>
      <c r="C25" s="7" t="s">
        <v>80</v>
      </c>
      <c r="D25" s="4" t="s">
        <v>40</v>
      </c>
      <c r="E25" s="4" t="s">
        <v>10</v>
      </c>
      <c r="F25" s="4" t="s">
        <v>47</v>
      </c>
    </row>
    <row r="26" spans="1:6" x14ac:dyDescent="0.3">
      <c r="A26" s="27">
        <v>2</v>
      </c>
      <c r="B26" s="28">
        <v>1</v>
      </c>
      <c r="C26" s="27" t="s">
        <v>81</v>
      </c>
      <c r="D26" s="27" t="s">
        <v>0</v>
      </c>
      <c r="E26" s="27" t="s">
        <v>41</v>
      </c>
      <c r="F26" s="27" t="s">
        <v>52</v>
      </c>
    </row>
    <row r="27" spans="1:6" x14ac:dyDescent="0.3">
      <c r="A27" s="15">
        <v>2</v>
      </c>
      <c r="B27" s="12">
        <v>1</v>
      </c>
      <c r="C27" s="15" t="s">
        <v>81</v>
      </c>
      <c r="D27" s="15" t="s">
        <v>40</v>
      </c>
      <c r="E27" s="15" t="s">
        <v>9</v>
      </c>
      <c r="F27" s="15" t="s">
        <v>52</v>
      </c>
    </row>
    <row r="28" spans="1:6" x14ac:dyDescent="0.3">
      <c r="A28" s="27">
        <v>2</v>
      </c>
      <c r="B28" s="9">
        <v>2</v>
      </c>
      <c r="C28" s="9" t="s">
        <v>80</v>
      </c>
      <c r="D28" s="9" t="s">
        <v>29</v>
      </c>
      <c r="E28" s="27" t="s">
        <v>42</v>
      </c>
      <c r="F28" s="27" t="s">
        <v>49</v>
      </c>
    </row>
    <row r="29" spans="1:6" x14ac:dyDescent="0.3">
      <c r="A29" s="15">
        <v>2</v>
      </c>
      <c r="B29" s="9">
        <v>2</v>
      </c>
      <c r="C29" s="9" t="s">
        <v>80</v>
      </c>
      <c r="D29" s="9" t="s">
        <v>29</v>
      </c>
      <c r="E29" s="15" t="s">
        <v>42</v>
      </c>
      <c r="F29" s="15" t="s">
        <v>48</v>
      </c>
    </row>
    <row r="30" spans="1:6" x14ac:dyDescent="0.3">
      <c r="A30" s="27">
        <v>2</v>
      </c>
      <c r="B30" s="28">
        <v>1</v>
      </c>
      <c r="C30" s="28" t="s">
        <v>81</v>
      </c>
      <c r="D30" s="27" t="s">
        <v>0</v>
      </c>
      <c r="E30" s="27" t="s">
        <v>41</v>
      </c>
      <c r="F30" s="27" t="s">
        <v>53</v>
      </c>
    </row>
    <row r="31" spans="1:6" x14ac:dyDescent="0.3">
      <c r="A31" s="15">
        <v>2</v>
      </c>
      <c r="B31" s="12">
        <v>1</v>
      </c>
      <c r="C31" s="12" t="s">
        <v>81</v>
      </c>
      <c r="D31" s="15" t="s">
        <v>40</v>
      </c>
      <c r="E31" s="15" t="s">
        <v>9</v>
      </c>
      <c r="F31" s="15" t="s">
        <v>53</v>
      </c>
    </row>
    <row r="32" spans="1:6" x14ac:dyDescent="0.3">
      <c r="A32" s="27">
        <v>2</v>
      </c>
      <c r="B32" s="28">
        <v>1</v>
      </c>
      <c r="C32" s="28" t="s">
        <v>81</v>
      </c>
      <c r="D32" s="27" t="s">
        <v>0</v>
      </c>
      <c r="E32" s="27" t="s">
        <v>41</v>
      </c>
      <c r="F32" s="27" t="s">
        <v>55</v>
      </c>
    </row>
    <row r="33" spans="1:6" x14ac:dyDescent="0.3">
      <c r="A33" s="15">
        <v>2</v>
      </c>
      <c r="B33" s="12">
        <v>2</v>
      </c>
      <c r="C33" s="12" t="s">
        <v>80</v>
      </c>
      <c r="D33" s="15" t="s">
        <v>40</v>
      </c>
      <c r="E33" s="15" t="s">
        <v>10</v>
      </c>
      <c r="F33" s="15" t="s">
        <v>55</v>
      </c>
    </row>
    <row r="34" spans="1:6" x14ac:dyDescent="0.3">
      <c r="A34" s="27">
        <v>2</v>
      </c>
      <c r="B34" s="9">
        <v>1</v>
      </c>
      <c r="C34" s="9" t="s">
        <v>81</v>
      </c>
      <c r="D34" s="9" t="s">
        <v>29</v>
      </c>
      <c r="E34" s="27" t="s">
        <v>42</v>
      </c>
      <c r="F34" s="27" t="s">
        <v>50</v>
      </c>
    </row>
    <row r="35" spans="1:6" x14ac:dyDescent="0.3">
      <c r="A35" s="15">
        <v>2</v>
      </c>
      <c r="B35" s="12">
        <v>2</v>
      </c>
      <c r="C35" s="12" t="s">
        <v>80</v>
      </c>
      <c r="D35" s="15" t="s">
        <v>0</v>
      </c>
      <c r="E35" s="15" t="s">
        <v>41</v>
      </c>
      <c r="F35" s="15" t="s">
        <v>54</v>
      </c>
    </row>
    <row r="36" spans="1:6" x14ac:dyDescent="0.3">
      <c r="A36" s="27">
        <v>2</v>
      </c>
      <c r="B36" s="28">
        <v>1</v>
      </c>
      <c r="C36" s="28" t="s">
        <v>81</v>
      </c>
      <c r="D36" s="27" t="s">
        <v>40</v>
      </c>
      <c r="E36" s="27" t="s">
        <v>10</v>
      </c>
      <c r="F36" s="27" t="s">
        <v>54</v>
      </c>
    </row>
    <row r="37" spans="1:6" x14ac:dyDescent="0.3">
      <c r="A37" s="15">
        <v>2</v>
      </c>
      <c r="B37" s="12">
        <v>1</v>
      </c>
      <c r="C37" s="12" t="s">
        <v>81</v>
      </c>
      <c r="D37" s="15" t="s">
        <v>0</v>
      </c>
      <c r="E37" s="15" t="s">
        <v>41</v>
      </c>
      <c r="F37" s="15" t="s">
        <v>51</v>
      </c>
    </row>
    <row r="38" spans="1:6" x14ac:dyDescent="0.3">
      <c r="A38" s="27">
        <v>2</v>
      </c>
      <c r="B38" s="28">
        <v>2</v>
      </c>
      <c r="C38" s="28" t="s">
        <v>80</v>
      </c>
      <c r="D38" s="27" t="s">
        <v>40</v>
      </c>
      <c r="E38" s="27" t="s">
        <v>10</v>
      </c>
      <c r="F38" s="27" t="s">
        <v>51</v>
      </c>
    </row>
    <row r="39" spans="1:6" x14ac:dyDescent="0.3">
      <c r="A39" s="15">
        <v>2</v>
      </c>
      <c r="B39" s="9">
        <v>2</v>
      </c>
      <c r="C39" s="9" t="s">
        <v>80</v>
      </c>
      <c r="D39" s="9" t="s">
        <v>29</v>
      </c>
      <c r="E39" s="15" t="s">
        <v>42</v>
      </c>
      <c r="F39" s="15" t="s">
        <v>43</v>
      </c>
    </row>
    <row r="40" spans="1:6" x14ac:dyDescent="0.3">
      <c r="A40" s="27">
        <v>2</v>
      </c>
      <c r="B40" s="9">
        <v>1</v>
      </c>
      <c r="C40" s="9" t="s">
        <v>81</v>
      </c>
      <c r="D40" s="9" t="s">
        <v>29</v>
      </c>
      <c r="E40" s="27" t="s">
        <v>42</v>
      </c>
      <c r="F40" s="27" t="s">
        <v>46</v>
      </c>
    </row>
    <row r="41" spans="1:6" x14ac:dyDescent="0.3">
      <c r="A41" s="15">
        <v>2</v>
      </c>
      <c r="B41" s="12">
        <v>2</v>
      </c>
      <c r="C41" s="12" t="s">
        <v>80</v>
      </c>
      <c r="D41" s="15" t="s">
        <v>0</v>
      </c>
      <c r="E41" s="15" t="s">
        <v>41</v>
      </c>
      <c r="F41" s="15" t="s">
        <v>57</v>
      </c>
    </row>
    <row r="42" spans="1:6" x14ac:dyDescent="0.3">
      <c r="A42" s="27">
        <v>2</v>
      </c>
      <c r="B42" s="28">
        <v>2</v>
      </c>
      <c r="C42" s="28" t="s">
        <v>80</v>
      </c>
      <c r="D42" s="27" t="s">
        <v>40</v>
      </c>
      <c r="E42" s="27" t="s">
        <v>9</v>
      </c>
      <c r="F42" s="27" t="s">
        <v>57</v>
      </c>
    </row>
    <row r="43" spans="1:6" x14ac:dyDescent="0.3">
      <c r="A43" s="15">
        <v>2</v>
      </c>
      <c r="B43" s="9">
        <v>1</v>
      </c>
      <c r="C43" s="9" t="s">
        <v>81</v>
      </c>
      <c r="D43" s="9" t="s">
        <v>29</v>
      </c>
      <c r="E43" s="15" t="s">
        <v>42</v>
      </c>
      <c r="F43" s="15" t="s">
        <v>44</v>
      </c>
    </row>
    <row r="44" spans="1:6" x14ac:dyDescent="0.3">
      <c r="A44" s="27">
        <v>2</v>
      </c>
      <c r="B44" s="28">
        <v>2</v>
      </c>
      <c r="C44" s="28" t="s">
        <v>80</v>
      </c>
      <c r="D44" s="27" t="s">
        <v>0</v>
      </c>
      <c r="E44" s="27" t="s">
        <v>41</v>
      </c>
      <c r="F44" s="27" t="s">
        <v>58</v>
      </c>
    </row>
    <row r="45" spans="1:6" x14ac:dyDescent="0.3">
      <c r="A45" s="15">
        <v>2</v>
      </c>
      <c r="B45" s="12">
        <v>2</v>
      </c>
      <c r="C45" s="12" t="s">
        <v>80</v>
      </c>
      <c r="D45" s="15" t="s">
        <v>40</v>
      </c>
      <c r="E45" s="15" t="s">
        <v>9</v>
      </c>
      <c r="F45" s="15" t="s">
        <v>58</v>
      </c>
    </row>
    <row r="46" spans="1:6" x14ac:dyDescent="0.3">
      <c r="A46" s="27">
        <v>2</v>
      </c>
      <c r="B46" s="28">
        <v>2</v>
      </c>
      <c r="C46" s="28" t="s">
        <v>80</v>
      </c>
      <c r="D46" s="27" t="s">
        <v>0</v>
      </c>
      <c r="E46" s="27" t="s">
        <v>41</v>
      </c>
      <c r="F46" s="27" t="s">
        <v>56</v>
      </c>
    </row>
    <row r="47" spans="1:6" x14ac:dyDescent="0.3">
      <c r="A47" s="15">
        <v>2</v>
      </c>
      <c r="B47" s="12">
        <v>1</v>
      </c>
      <c r="C47" s="12" t="s">
        <v>81</v>
      </c>
      <c r="D47" s="15" t="s">
        <v>40</v>
      </c>
      <c r="E47" s="15" t="s">
        <v>10</v>
      </c>
      <c r="F47" s="15" t="s">
        <v>56</v>
      </c>
    </row>
    <row r="48" spans="1:6" x14ac:dyDescent="0.3">
      <c r="A48" s="27">
        <v>2</v>
      </c>
      <c r="B48" s="9">
        <v>1</v>
      </c>
      <c r="C48" s="9" t="s">
        <v>81</v>
      </c>
      <c r="D48" s="9" t="s">
        <v>29</v>
      </c>
      <c r="E48" s="27" t="s">
        <v>42</v>
      </c>
      <c r="F48" s="27" t="s">
        <v>45</v>
      </c>
    </row>
    <row r="49" spans="1:6" x14ac:dyDescent="0.3">
      <c r="A49" s="15">
        <v>2</v>
      </c>
      <c r="B49" s="9">
        <v>2</v>
      </c>
      <c r="C49" s="9" t="s">
        <v>80</v>
      </c>
      <c r="D49" s="9" t="s">
        <v>29</v>
      </c>
      <c r="E49" s="15" t="s">
        <v>42</v>
      </c>
      <c r="F49" s="15" t="s">
        <v>47</v>
      </c>
    </row>
    <row r="50" spans="1:6" x14ac:dyDescent="0.3">
      <c r="A50" s="12">
        <v>3</v>
      </c>
      <c r="B50" s="12">
        <v>1</v>
      </c>
      <c r="C50" s="12" t="s">
        <v>81</v>
      </c>
      <c r="D50" s="15" t="s">
        <v>0</v>
      </c>
      <c r="E50" s="15" t="s">
        <v>41</v>
      </c>
      <c r="F50" s="15" t="s">
        <v>62</v>
      </c>
    </row>
    <row r="51" spans="1:6" x14ac:dyDescent="0.3">
      <c r="A51" s="7">
        <v>3</v>
      </c>
      <c r="B51" s="7">
        <v>2</v>
      </c>
      <c r="C51" s="7" t="s">
        <v>80</v>
      </c>
      <c r="D51" s="4" t="s">
        <v>40</v>
      </c>
      <c r="E51" s="4" t="s">
        <v>10</v>
      </c>
      <c r="F51" s="4" t="s">
        <v>62</v>
      </c>
    </row>
    <row r="52" spans="1:6" x14ac:dyDescent="0.3">
      <c r="A52" s="12">
        <v>3</v>
      </c>
      <c r="B52" s="10">
        <v>2</v>
      </c>
      <c r="C52" s="10" t="s">
        <v>80</v>
      </c>
      <c r="D52" s="10" t="s">
        <v>29</v>
      </c>
      <c r="E52" s="15" t="s">
        <v>42</v>
      </c>
      <c r="F52" s="15" t="s">
        <v>52</v>
      </c>
    </row>
    <row r="53" spans="1:6" x14ac:dyDescent="0.3">
      <c r="A53" s="7">
        <v>3</v>
      </c>
      <c r="B53" s="10">
        <v>1</v>
      </c>
      <c r="C53" s="10" t="s">
        <v>81</v>
      </c>
      <c r="D53" s="10" t="s">
        <v>29</v>
      </c>
      <c r="E53" s="4" t="s">
        <v>42</v>
      </c>
      <c r="F53" s="4" t="s">
        <v>53</v>
      </c>
    </row>
    <row r="54" spans="1:6" x14ac:dyDescent="0.3">
      <c r="A54" s="12">
        <v>3</v>
      </c>
      <c r="B54" s="12">
        <v>2</v>
      </c>
      <c r="C54" s="12" t="s">
        <v>80</v>
      </c>
      <c r="D54" s="15" t="s">
        <v>0</v>
      </c>
      <c r="E54" s="15" t="s">
        <v>41</v>
      </c>
      <c r="F54" s="15" t="s">
        <v>65</v>
      </c>
    </row>
    <row r="55" spans="1:6" x14ac:dyDescent="0.3">
      <c r="A55" s="7">
        <v>3</v>
      </c>
      <c r="B55" s="7">
        <v>1</v>
      </c>
      <c r="C55" s="7" t="s">
        <v>81</v>
      </c>
      <c r="D55" s="4" t="s">
        <v>40</v>
      </c>
      <c r="E55" s="4" t="s">
        <v>10</v>
      </c>
      <c r="F55" s="4" t="s">
        <v>65</v>
      </c>
    </row>
    <row r="56" spans="1:6" x14ac:dyDescent="0.3">
      <c r="A56" s="12">
        <v>3</v>
      </c>
      <c r="B56" s="12">
        <v>1</v>
      </c>
      <c r="C56" s="12" t="s">
        <v>81</v>
      </c>
      <c r="D56" s="15" t="s">
        <v>0</v>
      </c>
      <c r="E56" s="15" t="s">
        <v>41</v>
      </c>
      <c r="F56" s="15" t="s">
        <v>60</v>
      </c>
    </row>
    <row r="57" spans="1:6" x14ac:dyDescent="0.3">
      <c r="A57" s="7">
        <v>3</v>
      </c>
      <c r="B57" s="7">
        <v>2</v>
      </c>
      <c r="C57" s="7" t="s">
        <v>80</v>
      </c>
      <c r="D57" s="4" t="s">
        <v>40</v>
      </c>
      <c r="E57" s="4" t="s">
        <v>10</v>
      </c>
      <c r="F57" s="4" t="s">
        <v>60</v>
      </c>
    </row>
    <row r="58" spans="1:6" x14ac:dyDescent="0.3">
      <c r="A58" s="12">
        <v>3</v>
      </c>
      <c r="B58" s="10">
        <v>1</v>
      </c>
      <c r="C58" s="10" t="s">
        <v>81</v>
      </c>
      <c r="D58" s="10" t="s">
        <v>29</v>
      </c>
      <c r="E58" s="15" t="s">
        <v>42</v>
      </c>
      <c r="F58" s="15" t="s">
        <v>55</v>
      </c>
    </row>
    <row r="59" spans="1:6" x14ac:dyDescent="0.3">
      <c r="A59" s="7">
        <v>3</v>
      </c>
      <c r="B59" s="7">
        <v>2</v>
      </c>
      <c r="C59" s="7" t="s">
        <v>80</v>
      </c>
      <c r="D59" s="4" t="s">
        <v>0</v>
      </c>
      <c r="E59" s="4" t="s">
        <v>41</v>
      </c>
      <c r="F59" s="4" t="s">
        <v>64</v>
      </c>
    </row>
    <row r="60" spans="1:6" x14ac:dyDescent="0.3">
      <c r="A60" s="12">
        <v>3</v>
      </c>
      <c r="B60" s="12">
        <v>2</v>
      </c>
      <c r="C60" s="12" t="s">
        <v>80</v>
      </c>
      <c r="D60" s="15" t="s">
        <v>40</v>
      </c>
      <c r="E60" s="15" t="s">
        <v>9</v>
      </c>
      <c r="F60" s="15" t="s">
        <v>64</v>
      </c>
    </row>
    <row r="61" spans="1:6" x14ac:dyDescent="0.3">
      <c r="A61" s="7">
        <v>3</v>
      </c>
      <c r="B61" s="10">
        <v>1</v>
      </c>
      <c r="C61" s="10" t="s">
        <v>81</v>
      </c>
      <c r="D61" s="10" t="s">
        <v>29</v>
      </c>
      <c r="E61" s="4" t="s">
        <v>42</v>
      </c>
      <c r="F61" s="4" t="s">
        <v>54</v>
      </c>
    </row>
    <row r="62" spans="1:6" x14ac:dyDescent="0.3">
      <c r="A62" s="12">
        <v>3</v>
      </c>
      <c r="B62" s="10">
        <v>2</v>
      </c>
      <c r="C62" s="10" t="s">
        <v>80</v>
      </c>
      <c r="D62" s="10" t="s">
        <v>29</v>
      </c>
      <c r="E62" s="15" t="s">
        <v>42</v>
      </c>
      <c r="F62" s="15" t="s">
        <v>51</v>
      </c>
    </row>
    <row r="63" spans="1:6" x14ac:dyDescent="0.3">
      <c r="A63" s="7">
        <v>3</v>
      </c>
      <c r="B63" s="10">
        <v>1</v>
      </c>
      <c r="C63" s="10" t="s">
        <v>81</v>
      </c>
      <c r="D63" s="10" t="s">
        <v>29</v>
      </c>
      <c r="E63" s="4" t="s">
        <v>42</v>
      </c>
      <c r="F63" s="4" t="s">
        <v>57</v>
      </c>
    </row>
    <row r="64" spans="1:6" x14ac:dyDescent="0.3">
      <c r="A64" s="12">
        <v>3</v>
      </c>
      <c r="B64" s="12">
        <v>2</v>
      </c>
      <c r="C64" s="12" t="s">
        <v>80</v>
      </c>
      <c r="D64" s="15" t="s">
        <v>0</v>
      </c>
      <c r="E64" s="15" t="s">
        <v>41</v>
      </c>
      <c r="F64" s="15" t="s">
        <v>66</v>
      </c>
    </row>
    <row r="65" spans="1:6" x14ac:dyDescent="0.3">
      <c r="A65" s="7">
        <v>3</v>
      </c>
      <c r="B65" s="7">
        <v>2</v>
      </c>
      <c r="C65" s="7" t="s">
        <v>80</v>
      </c>
      <c r="D65" s="4" t="s">
        <v>40</v>
      </c>
      <c r="E65" s="4" t="s">
        <v>9</v>
      </c>
      <c r="F65" s="4" t="s">
        <v>66</v>
      </c>
    </row>
    <row r="66" spans="1:6" x14ac:dyDescent="0.3">
      <c r="A66" s="12">
        <v>3</v>
      </c>
      <c r="B66" s="12">
        <v>2</v>
      </c>
      <c r="C66" s="12" t="s">
        <v>80</v>
      </c>
      <c r="D66" s="15" t="s">
        <v>0</v>
      </c>
      <c r="E66" s="15" t="s">
        <v>41</v>
      </c>
      <c r="F66" s="15" t="s">
        <v>63</v>
      </c>
    </row>
    <row r="67" spans="1:6" x14ac:dyDescent="0.3">
      <c r="A67" s="7">
        <v>3</v>
      </c>
      <c r="B67" s="7">
        <v>1</v>
      </c>
      <c r="C67" s="7" t="s">
        <v>81</v>
      </c>
      <c r="D67" s="4" t="s">
        <v>40</v>
      </c>
      <c r="E67" s="4" t="s">
        <v>10</v>
      </c>
      <c r="F67" s="4" t="s">
        <v>63</v>
      </c>
    </row>
    <row r="68" spans="1:6" x14ac:dyDescent="0.3">
      <c r="A68" s="28">
        <v>3</v>
      </c>
      <c r="B68" s="28">
        <v>1</v>
      </c>
      <c r="C68" s="28" t="s">
        <v>81</v>
      </c>
      <c r="D68" s="27" t="s">
        <v>0</v>
      </c>
      <c r="E68" s="27" t="s">
        <v>41</v>
      </c>
      <c r="F68" s="27" t="s">
        <v>61</v>
      </c>
    </row>
    <row r="69" spans="1:6" x14ac:dyDescent="0.3">
      <c r="A69" s="12">
        <v>3</v>
      </c>
      <c r="B69" s="12">
        <v>1</v>
      </c>
      <c r="C69" s="12" t="s">
        <v>81</v>
      </c>
      <c r="D69" s="15" t="s">
        <v>40</v>
      </c>
      <c r="E69" s="15" t="s">
        <v>9</v>
      </c>
      <c r="F69" s="15" t="s">
        <v>61</v>
      </c>
    </row>
    <row r="70" spans="1:6" x14ac:dyDescent="0.3">
      <c r="A70" s="28">
        <v>3</v>
      </c>
      <c r="B70" s="10">
        <v>2</v>
      </c>
      <c r="C70" s="10" t="s">
        <v>80</v>
      </c>
      <c r="D70" s="10" t="s">
        <v>29</v>
      </c>
      <c r="E70" s="27" t="s">
        <v>42</v>
      </c>
      <c r="F70" s="27" t="s">
        <v>56</v>
      </c>
    </row>
    <row r="71" spans="1:6" x14ac:dyDescent="0.3">
      <c r="A71" s="12">
        <v>3</v>
      </c>
      <c r="B71" s="12">
        <v>1</v>
      </c>
      <c r="C71" s="12" t="s">
        <v>81</v>
      </c>
      <c r="D71" s="15" t="s">
        <v>0</v>
      </c>
      <c r="E71" s="15" t="s">
        <v>41</v>
      </c>
      <c r="F71" s="15" t="s">
        <v>59</v>
      </c>
    </row>
    <row r="72" spans="1:6" x14ac:dyDescent="0.3">
      <c r="A72" s="28">
        <v>3</v>
      </c>
      <c r="B72" s="28">
        <v>1</v>
      </c>
      <c r="C72" s="28" t="s">
        <v>81</v>
      </c>
      <c r="D72" s="27" t="s">
        <v>40</v>
      </c>
      <c r="E72" s="27" t="s">
        <v>9</v>
      </c>
      <c r="F72" s="27" t="s">
        <v>59</v>
      </c>
    </row>
    <row r="73" spans="1:6" x14ac:dyDescent="0.3">
      <c r="A73" s="12">
        <v>3</v>
      </c>
      <c r="B73" s="10">
        <v>2</v>
      </c>
      <c r="C73" s="10" t="s">
        <v>80</v>
      </c>
      <c r="D73" s="10" t="s">
        <v>29</v>
      </c>
      <c r="E73" s="15" t="s">
        <v>42</v>
      </c>
      <c r="F73" s="15" t="s">
        <v>58</v>
      </c>
    </row>
    <row r="74" spans="1:6" x14ac:dyDescent="0.3">
      <c r="A74" s="27">
        <v>4</v>
      </c>
      <c r="B74" s="28">
        <v>1</v>
      </c>
      <c r="C74" s="28" t="s">
        <v>81</v>
      </c>
      <c r="D74" s="27" t="s">
        <v>0</v>
      </c>
      <c r="E74" s="27" t="s">
        <v>41</v>
      </c>
      <c r="F74" s="27" t="s">
        <v>71</v>
      </c>
    </row>
    <row r="75" spans="1:6" x14ac:dyDescent="0.3">
      <c r="A75" s="15">
        <v>4</v>
      </c>
      <c r="B75" s="12">
        <v>1</v>
      </c>
      <c r="C75" s="12" t="s">
        <v>81</v>
      </c>
      <c r="D75" s="15" t="s">
        <v>40</v>
      </c>
      <c r="E75" s="15" t="s">
        <v>9</v>
      </c>
      <c r="F75" s="15" t="s">
        <v>71</v>
      </c>
    </row>
    <row r="76" spans="1:6" x14ac:dyDescent="0.3">
      <c r="A76" s="27">
        <v>4</v>
      </c>
      <c r="B76" s="11">
        <v>2</v>
      </c>
      <c r="C76" s="11" t="s">
        <v>80</v>
      </c>
      <c r="D76" s="11" t="s">
        <v>29</v>
      </c>
      <c r="E76" s="27" t="s">
        <v>42</v>
      </c>
      <c r="F76" s="27" t="s">
        <v>62</v>
      </c>
    </row>
    <row r="77" spans="1:6" x14ac:dyDescent="0.3">
      <c r="A77" s="15">
        <v>4</v>
      </c>
      <c r="B77" s="12">
        <v>1</v>
      </c>
      <c r="C77" s="12" t="s">
        <v>81</v>
      </c>
      <c r="D77" s="15" t="s">
        <v>0</v>
      </c>
      <c r="E77" s="15" t="s">
        <v>41</v>
      </c>
      <c r="F77" s="15" t="s">
        <v>69</v>
      </c>
    </row>
    <row r="78" spans="1:6" x14ac:dyDescent="0.3">
      <c r="A78" s="27">
        <v>4</v>
      </c>
      <c r="B78" s="28">
        <v>2</v>
      </c>
      <c r="C78" s="28" t="s">
        <v>80</v>
      </c>
      <c r="D78" s="27" t="s">
        <v>40</v>
      </c>
      <c r="E78" s="27" t="s">
        <v>10</v>
      </c>
      <c r="F78" s="27" t="s">
        <v>69</v>
      </c>
    </row>
    <row r="79" spans="1:6" x14ac:dyDescent="0.3">
      <c r="A79" s="15">
        <v>4</v>
      </c>
      <c r="B79" s="12">
        <v>2</v>
      </c>
      <c r="C79" s="12" t="s">
        <v>80</v>
      </c>
      <c r="D79" s="15" t="s">
        <v>0</v>
      </c>
      <c r="E79" s="15" t="s">
        <v>41</v>
      </c>
      <c r="F79" s="15" t="s">
        <v>73</v>
      </c>
    </row>
    <row r="80" spans="1:6" x14ac:dyDescent="0.3">
      <c r="A80" s="27">
        <v>4</v>
      </c>
      <c r="B80" s="28">
        <v>2</v>
      </c>
      <c r="C80" s="28" t="s">
        <v>80</v>
      </c>
      <c r="D80" s="27" t="s">
        <v>40</v>
      </c>
      <c r="E80" s="27" t="s">
        <v>9</v>
      </c>
      <c r="F80" s="27" t="s">
        <v>73</v>
      </c>
    </row>
    <row r="81" spans="1:6" x14ac:dyDescent="0.3">
      <c r="A81" s="15">
        <v>4</v>
      </c>
      <c r="B81" s="11">
        <v>1</v>
      </c>
      <c r="C81" s="11" t="s">
        <v>81</v>
      </c>
      <c r="D81" s="11" t="s">
        <v>29</v>
      </c>
      <c r="E81" s="15" t="s">
        <v>42</v>
      </c>
      <c r="F81" s="15" t="s">
        <v>65</v>
      </c>
    </row>
    <row r="82" spans="1:6" x14ac:dyDescent="0.3">
      <c r="A82" s="27">
        <v>4</v>
      </c>
      <c r="B82" s="11">
        <v>2</v>
      </c>
      <c r="C82" s="11" t="s">
        <v>80</v>
      </c>
      <c r="D82" s="11" t="s">
        <v>29</v>
      </c>
      <c r="E82" s="27" t="s">
        <v>42</v>
      </c>
      <c r="F82" s="27" t="s">
        <v>60</v>
      </c>
    </row>
    <row r="83" spans="1:6" x14ac:dyDescent="0.3">
      <c r="A83" s="15">
        <v>4</v>
      </c>
      <c r="B83" s="12">
        <v>2</v>
      </c>
      <c r="C83" s="12" t="s">
        <v>80</v>
      </c>
      <c r="D83" s="15" t="s">
        <v>0</v>
      </c>
      <c r="E83" s="15" t="s">
        <v>41</v>
      </c>
      <c r="F83" s="15" t="s">
        <v>70</v>
      </c>
    </row>
    <row r="84" spans="1:6" x14ac:dyDescent="0.3">
      <c r="A84" s="27">
        <v>4</v>
      </c>
      <c r="B84" s="28">
        <v>1</v>
      </c>
      <c r="C84" s="28" t="s">
        <v>81</v>
      </c>
      <c r="D84" s="27" t="s">
        <v>40</v>
      </c>
      <c r="E84" s="27" t="s">
        <v>10</v>
      </c>
      <c r="F84" s="27" t="s">
        <v>70</v>
      </c>
    </row>
    <row r="85" spans="1:6" x14ac:dyDescent="0.3">
      <c r="A85" s="15">
        <v>4</v>
      </c>
      <c r="B85" s="12">
        <v>1</v>
      </c>
      <c r="C85" s="12" t="s">
        <v>81</v>
      </c>
      <c r="D85" s="15" t="s">
        <v>0</v>
      </c>
      <c r="E85" s="15" t="s">
        <v>41</v>
      </c>
      <c r="F85" s="15" t="s">
        <v>74</v>
      </c>
    </row>
    <row r="86" spans="1:6" x14ac:dyDescent="0.3">
      <c r="A86" s="27">
        <v>4</v>
      </c>
      <c r="B86" s="28">
        <v>2</v>
      </c>
      <c r="C86" s="28" t="s">
        <v>80</v>
      </c>
      <c r="D86" s="27" t="s">
        <v>40</v>
      </c>
      <c r="E86" s="27" t="s">
        <v>10</v>
      </c>
      <c r="F86" s="27" t="s">
        <v>74</v>
      </c>
    </row>
    <row r="87" spans="1:6" x14ac:dyDescent="0.3">
      <c r="A87" s="15">
        <v>4</v>
      </c>
      <c r="B87" s="11">
        <v>1</v>
      </c>
      <c r="C87" s="11" t="s">
        <v>81</v>
      </c>
      <c r="D87" s="11" t="s">
        <v>29</v>
      </c>
      <c r="E87" s="15" t="s">
        <v>42</v>
      </c>
      <c r="F87" s="15" t="s">
        <v>64</v>
      </c>
    </row>
    <row r="88" spans="1:6" x14ac:dyDescent="0.3">
      <c r="A88" s="27">
        <v>4</v>
      </c>
      <c r="B88" s="28">
        <v>2</v>
      </c>
      <c r="C88" s="28" t="s">
        <v>80</v>
      </c>
      <c r="D88" s="27" t="s">
        <v>0</v>
      </c>
      <c r="E88" s="27" t="s">
        <v>41</v>
      </c>
      <c r="F88" s="27" t="s">
        <v>67</v>
      </c>
    </row>
    <row r="89" spans="1:6" x14ac:dyDescent="0.3">
      <c r="A89" s="15">
        <v>4</v>
      </c>
      <c r="B89" s="12">
        <v>2</v>
      </c>
      <c r="C89" s="12" t="s">
        <v>80</v>
      </c>
      <c r="D89" s="15" t="s">
        <v>40</v>
      </c>
      <c r="E89" s="15" t="s">
        <v>9</v>
      </c>
      <c r="F89" s="15" t="s">
        <v>67</v>
      </c>
    </row>
    <row r="90" spans="1:6" x14ac:dyDescent="0.3">
      <c r="A90" s="27">
        <v>4</v>
      </c>
      <c r="B90" s="11">
        <v>1</v>
      </c>
      <c r="C90" s="11" t="s">
        <v>81</v>
      </c>
      <c r="D90" s="11" t="s">
        <v>29</v>
      </c>
      <c r="E90" s="27" t="s">
        <v>42</v>
      </c>
      <c r="F90" s="27" t="s">
        <v>66</v>
      </c>
    </row>
    <row r="91" spans="1:6" x14ac:dyDescent="0.3">
      <c r="A91" s="15">
        <v>4</v>
      </c>
      <c r="B91" s="12">
        <v>2</v>
      </c>
      <c r="C91" s="12" t="s">
        <v>80</v>
      </c>
      <c r="D91" s="15" t="s">
        <v>0</v>
      </c>
      <c r="E91" s="15" t="s">
        <v>41</v>
      </c>
      <c r="F91" s="15" t="s">
        <v>72</v>
      </c>
    </row>
    <row r="92" spans="1:6" x14ac:dyDescent="0.3">
      <c r="A92" s="27">
        <v>4</v>
      </c>
      <c r="B92" s="28">
        <v>1</v>
      </c>
      <c r="C92" s="28" t="s">
        <v>81</v>
      </c>
      <c r="D92" s="27" t="s">
        <v>40</v>
      </c>
      <c r="E92" s="27" t="s">
        <v>10</v>
      </c>
      <c r="F92" s="27" t="s">
        <v>72</v>
      </c>
    </row>
    <row r="93" spans="1:6" x14ac:dyDescent="0.3">
      <c r="A93" s="15">
        <v>4</v>
      </c>
      <c r="B93" s="12">
        <v>1</v>
      </c>
      <c r="C93" s="12" t="s">
        <v>81</v>
      </c>
      <c r="D93" s="15" t="s">
        <v>0</v>
      </c>
      <c r="E93" s="15" t="s">
        <v>41</v>
      </c>
      <c r="F93" s="15" t="s">
        <v>68</v>
      </c>
    </row>
    <row r="94" spans="1:6" x14ac:dyDescent="0.3">
      <c r="A94" s="27">
        <v>4</v>
      </c>
      <c r="B94" s="28">
        <v>1</v>
      </c>
      <c r="C94" s="28" t="s">
        <v>81</v>
      </c>
      <c r="D94" s="27" t="s">
        <v>40</v>
      </c>
      <c r="E94" s="27" t="s">
        <v>9</v>
      </c>
      <c r="F94" s="27" t="s">
        <v>68</v>
      </c>
    </row>
    <row r="95" spans="1:6" x14ac:dyDescent="0.3">
      <c r="A95" s="15">
        <v>4</v>
      </c>
      <c r="B95" s="11">
        <v>2</v>
      </c>
      <c r="C95" s="11" t="s">
        <v>80</v>
      </c>
      <c r="D95" s="11" t="s">
        <v>29</v>
      </c>
      <c r="E95" s="15" t="s">
        <v>42</v>
      </c>
      <c r="F95" s="15" t="s">
        <v>63</v>
      </c>
    </row>
    <row r="96" spans="1:6" x14ac:dyDescent="0.3">
      <c r="A96" s="27">
        <v>4</v>
      </c>
      <c r="B96" s="11">
        <v>1</v>
      </c>
      <c r="C96" s="11" t="s">
        <v>81</v>
      </c>
      <c r="D96" s="11" t="s">
        <v>29</v>
      </c>
      <c r="E96" s="27" t="s">
        <v>42</v>
      </c>
      <c r="F96" s="27" t="s">
        <v>61</v>
      </c>
    </row>
    <row r="97" spans="1:6" x14ac:dyDescent="0.3">
      <c r="A97" s="15">
        <v>4</v>
      </c>
      <c r="B97" s="11">
        <v>2</v>
      </c>
      <c r="C97" s="11" t="s">
        <v>80</v>
      </c>
      <c r="D97" s="11" t="s">
        <v>29</v>
      </c>
      <c r="E97" s="15" t="s">
        <v>42</v>
      </c>
      <c r="F97" s="15" t="s">
        <v>59</v>
      </c>
    </row>
    <row r="98" spans="1:6" x14ac:dyDescent="0.3">
      <c r="A98" s="29" t="s">
        <v>25</v>
      </c>
      <c r="B98" s="29"/>
      <c r="C98" s="29"/>
      <c r="D98" s="29"/>
      <c r="E98" s="29"/>
      <c r="F98" s="29"/>
    </row>
    <row r="99" spans="1:6" x14ac:dyDescent="0.3">
      <c r="A99" s="12">
        <v>1</v>
      </c>
      <c r="B99" s="12">
        <v>2</v>
      </c>
      <c r="C99" s="12" t="s">
        <v>80</v>
      </c>
      <c r="D99" s="15" t="s">
        <v>0</v>
      </c>
      <c r="E99" s="15" t="s">
        <v>41</v>
      </c>
      <c r="F99" s="15" t="s">
        <v>43</v>
      </c>
    </row>
    <row r="100" spans="1:6" x14ac:dyDescent="0.3">
      <c r="A100" s="7">
        <v>1</v>
      </c>
      <c r="B100" s="7">
        <v>2</v>
      </c>
      <c r="C100" s="7" t="s">
        <v>80</v>
      </c>
      <c r="D100" s="4" t="s">
        <v>40</v>
      </c>
      <c r="E100" s="4" t="s">
        <v>9</v>
      </c>
      <c r="F100" s="4" t="s">
        <v>43</v>
      </c>
    </row>
    <row r="101" spans="1:6" x14ac:dyDescent="0.3">
      <c r="A101" s="12">
        <v>1</v>
      </c>
      <c r="B101" s="14">
        <v>1</v>
      </c>
      <c r="C101" s="13" t="s">
        <v>81</v>
      </c>
      <c r="D101" s="8" t="s">
        <v>29</v>
      </c>
      <c r="E101" s="15" t="s">
        <v>42</v>
      </c>
      <c r="F101" s="15" t="s">
        <v>74</v>
      </c>
    </row>
    <row r="102" spans="1:6" x14ac:dyDescent="0.3">
      <c r="A102" s="7">
        <v>1</v>
      </c>
      <c r="B102" s="7">
        <v>2</v>
      </c>
      <c r="C102" s="7" t="s">
        <v>80</v>
      </c>
      <c r="D102" s="4" t="s">
        <v>0</v>
      </c>
      <c r="E102" s="4" t="s">
        <v>41</v>
      </c>
      <c r="F102" s="4" t="s">
        <v>44</v>
      </c>
    </row>
    <row r="103" spans="1:6" x14ac:dyDescent="0.3">
      <c r="A103" s="12">
        <v>1</v>
      </c>
      <c r="B103" s="12">
        <v>2</v>
      </c>
      <c r="C103" s="12" t="s">
        <v>80</v>
      </c>
      <c r="D103" s="15" t="s">
        <v>40</v>
      </c>
      <c r="E103" s="15" t="s">
        <v>9</v>
      </c>
      <c r="F103" s="15" t="s">
        <v>44</v>
      </c>
    </row>
    <row r="104" spans="1:6" x14ac:dyDescent="0.3">
      <c r="A104" s="7">
        <v>1</v>
      </c>
      <c r="B104" s="14">
        <v>1</v>
      </c>
      <c r="C104" s="14" t="s">
        <v>81</v>
      </c>
      <c r="D104" s="8" t="s">
        <v>29</v>
      </c>
      <c r="E104" s="4" t="s">
        <v>42</v>
      </c>
      <c r="F104" s="4" t="s">
        <v>73</v>
      </c>
    </row>
    <row r="105" spans="1:6" x14ac:dyDescent="0.3">
      <c r="A105" s="12">
        <v>1</v>
      </c>
      <c r="B105" s="12">
        <v>2</v>
      </c>
      <c r="C105" s="12" t="s">
        <v>80</v>
      </c>
      <c r="D105" s="15" t="s">
        <v>0</v>
      </c>
      <c r="E105" s="15" t="s">
        <v>41</v>
      </c>
      <c r="F105" s="15" t="s">
        <v>45</v>
      </c>
    </row>
    <row r="106" spans="1:6" x14ac:dyDescent="0.3">
      <c r="A106" s="7">
        <v>1</v>
      </c>
      <c r="B106" s="7">
        <v>1</v>
      </c>
      <c r="C106" s="7" t="s">
        <v>81</v>
      </c>
      <c r="D106" s="4" t="s">
        <v>40</v>
      </c>
      <c r="E106" s="4" t="s">
        <v>10</v>
      </c>
      <c r="F106" s="4" t="s">
        <v>45</v>
      </c>
    </row>
    <row r="107" spans="1:6" x14ac:dyDescent="0.3">
      <c r="A107" s="12">
        <v>1</v>
      </c>
      <c r="B107" s="12">
        <v>1</v>
      </c>
      <c r="C107" s="12" t="s">
        <v>81</v>
      </c>
      <c r="D107" s="15" t="s">
        <v>0</v>
      </c>
      <c r="E107" s="15" t="s">
        <v>41</v>
      </c>
      <c r="F107" s="15" t="s">
        <v>46</v>
      </c>
    </row>
    <row r="108" spans="1:6" x14ac:dyDescent="0.3">
      <c r="A108" s="7">
        <v>1</v>
      </c>
      <c r="B108" s="7">
        <v>2</v>
      </c>
      <c r="C108" s="7" t="s">
        <v>80</v>
      </c>
      <c r="D108" s="4" t="s">
        <v>40</v>
      </c>
      <c r="E108" s="4" t="s">
        <v>10</v>
      </c>
      <c r="F108" s="4" t="s">
        <v>46</v>
      </c>
    </row>
    <row r="109" spans="1:6" x14ac:dyDescent="0.3">
      <c r="A109" s="12">
        <v>1</v>
      </c>
      <c r="B109" s="14">
        <v>2</v>
      </c>
      <c r="C109" s="13" t="s">
        <v>80</v>
      </c>
      <c r="D109" s="8" t="s">
        <v>29</v>
      </c>
      <c r="E109" s="15" t="s">
        <v>42</v>
      </c>
      <c r="F109" s="15" t="s">
        <v>72</v>
      </c>
    </row>
    <row r="110" spans="1:6" x14ac:dyDescent="0.3">
      <c r="A110" s="7">
        <v>1</v>
      </c>
      <c r="B110" s="7">
        <v>2</v>
      </c>
      <c r="C110" s="7" t="s">
        <v>80</v>
      </c>
      <c r="D110" s="4" t="s">
        <v>0</v>
      </c>
      <c r="E110" s="4" t="s">
        <v>41</v>
      </c>
      <c r="F110" s="4" t="s">
        <v>47</v>
      </c>
    </row>
    <row r="111" spans="1:6" x14ac:dyDescent="0.3">
      <c r="A111" s="12">
        <v>1</v>
      </c>
      <c r="B111" s="12">
        <v>1</v>
      </c>
      <c r="C111" s="12" t="s">
        <v>81</v>
      </c>
      <c r="D111" s="15" t="s">
        <v>40</v>
      </c>
      <c r="E111" s="15" t="s">
        <v>10</v>
      </c>
      <c r="F111" s="15" t="s">
        <v>47</v>
      </c>
    </row>
    <row r="112" spans="1:6" x14ac:dyDescent="0.3">
      <c r="A112" s="7">
        <v>1</v>
      </c>
      <c r="B112" s="14">
        <v>2</v>
      </c>
      <c r="C112" s="14" t="s">
        <v>80</v>
      </c>
      <c r="D112" s="8" t="s">
        <v>29</v>
      </c>
      <c r="E112" s="4" t="s">
        <v>42</v>
      </c>
      <c r="F112" s="4" t="s">
        <v>71</v>
      </c>
    </row>
    <row r="113" spans="1:6" x14ac:dyDescent="0.3">
      <c r="A113" s="12">
        <v>1</v>
      </c>
      <c r="B113" s="12">
        <v>1</v>
      </c>
      <c r="C113" s="12" t="s">
        <v>81</v>
      </c>
      <c r="D113" s="15" t="s">
        <v>0</v>
      </c>
      <c r="E113" s="15" t="s">
        <v>41</v>
      </c>
      <c r="F113" s="15" t="s">
        <v>48</v>
      </c>
    </row>
    <row r="114" spans="1:6" x14ac:dyDescent="0.3">
      <c r="A114" s="7">
        <v>1</v>
      </c>
      <c r="B114" s="7">
        <v>1</v>
      </c>
      <c r="C114" s="7" t="s">
        <v>81</v>
      </c>
      <c r="D114" s="4" t="s">
        <v>40</v>
      </c>
      <c r="E114" s="4" t="s">
        <v>9</v>
      </c>
      <c r="F114" s="4" t="s">
        <v>48</v>
      </c>
    </row>
    <row r="115" spans="1:6" x14ac:dyDescent="0.3">
      <c r="A115" s="12">
        <v>1</v>
      </c>
      <c r="B115" s="14">
        <v>2</v>
      </c>
      <c r="C115" s="13" t="s">
        <v>80</v>
      </c>
      <c r="D115" s="8" t="s">
        <v>29</v>
      </c>
      <c r="E115" s="15" t="s">
        <v>42</v>
      </c>
      <c r="F115" s="15" t="s">
        <v>70</v>
      </c>
    </row>
    <row r="116" spans="1:6" x14ac:dyDescent="0.3">
      <c r="A116" s="7">
        <v>1</v>
      </c>
      <c r="B116" s="7">
        <v>1</v>
      </c>
      <c r="C116" s="7" t="s">
        <v>81</v>
      </c>
      <c r="D116" s="4" t="s">
        <v>0</v>
      </c>
      <c r="E116" s="4" t="s">
        <v>41</v>
      </c>
      <c r="F116" s="4" t="s">
        <v>49</v>
      </c>
    </row>
    <row r="117" spans="1:6" x14ac:dyDescent="0.3">
      <c r="A117" s="12">
        <v>1</v>
      </c>
      <c r="B117" s="12">
        <v>1</v>
      </c>
      <c r="C117" s="12" t="s">
        <v>81</v>
      </c>
      <c r="D117" s="15" t="s">
        <v>40</v>
      </c>
      <c r="E117" s="15" t="s">
        <v>9</v>
      </c>
      <c r="F117" s="15" t="s">
        <v>49</v>
      </c>
    </row>
    <row r="118" spans="1:6" x14ac:dyDescent="0.3">
      <c r="A118" s="7">
        <v>1</v>
      </c>
      <c r="B118" s="14">
        <v>2</v>
      </c>
      <c r="C118" s="14" t="s">
        <v>80</v>
      </c>
      <c r="D118" s="8" t="s">
        <v>29</v>
      </c>
      <c r="E118" s="4" t="s">
        <v>42</v>
      </c>
      <c r="F118" s="4" t="s">
        <v>69</v>
      </c>
    </row>
    <row r="119" spans="1:6" x14ac:dyDescent="0.3">
      <c r="A119" s="12">
        <v>1</v>
      </c>
      <c r="B119" s="12">
        <v>1</v>
      </c>
      <c r="C119" s="12" t="s">
        <v>81</v>
      </c>
      <c r="D119" s="15" t="s">
        <v>0</v>
      </c>
      <c r="E119" s="15" t="s">
        <v>41</v>
      </c>
      <c r="F119" s="15" t="s">
        <v>50</v>
      </c>
    </row>
    <row r="120" spans="1:6" x14ac:dyDescent="0.3">
      <c r="A120" s="7">
        <v>1</v>
      </c>
      <c r="B120" s="7">
        <v>2</v>
      </c>
      <c r="C120" s="7" t="s">
        <v>80</v>
      </c>
      <c r="D120" s="4" t="s">
        <v>40</v>
      </c>
      <c r="E120" s="4" t="s">
        <v>10</v>
      </c>
      <c r="F120" s="4" t="s">
        <v>50</v>
      </c>
    </row>
    <row r="121" spans="1:6" x14ac:dyDescent="0.3">
      <c r="A121" s="12">
        <v>1</v>
      </c>
      <c r="B121" s="14">
        <v>1</v>
      </c>
      <c r="C121" s="13" t="s">
        <v>81</v>
      </c>
      <c r="D121" s="8" t="s">
        <v>29</v>
      </c>
      <c r="E121" s="15" t="s">
        <v>42</v>
      </c>
      <c r="F121" s="15" t="s">
        <v>68</v>
      </c>
    </row>
    <row r="122" spans="1:6" x14ac:dyDescent="0.3">
      <c r="A122" s="7">
        <v>1</v>
      </c>
      <c r="B122" s="14">
        <v>1</v>
      </c>
      <c r="C122" s="14" t="s">
        <v>81</v>
      </c>
      <c r="D122" s="8" t="s">
        <v>29</v>
      </c>
      <c r="E122" s="4" t="s">
        <v>42</v>
      </c>
      <c r="F122" s="4" t="s">
        <v>67</v>
      </c>
    </row>
    <row r="123" spans="1:6" x14ac:dyDescent="0.3">
      <c r="A123" s="27">
        <v>2</v>
      </c>
      <c r="B123" s="9">
        <v>2</v>
      </c>
      <c r="C123" s="9" t="s">
        <v>80</v>
      </c>
      <c r="D123" s="9" t="s">
        <v>29</v>
      </c>
      <c r="E123" s="27" t="s">
        <v>42</v>
      </c>
      <c r="F123" s="27" t="s">
        <v>43</v>
      </c>
    </row>
    <row r="124" spans="1:6" x14ac:dyDescent="0.3">
      <c r="A124" s="15">
        <v>2</v>
      </c>
      <c r="B124" s="12">
        <v>1</v>
      </c>
      <c r="C124" s="12" t="s">
        <v>81</v>
      </c>
      <c r="D124" s="15" t="s">
        <v>0</v>
      </c>
      <c r="E124" s="15" t="s">
        <v>41</v>
      </c>
      <c r="F124" s="15" t="s">
        <v>58</v>
      </c>
    </row>
    <row r="125" spans="1:6" x14ac:dyDescent="0.3">
      <c r="A125" s="27">
        <v>2</v>
      </c>
      <c r="B125" s="28">
        <v>1</v>
      </c>
      <c r="C125" s="28" t="s">
        <v>81</v>
      </c>
      <c r="D125" s="27" t="s">
        <v>40</v>
      </c>
      <c r="E125" s="27" t="s">
        <v>9</v>
      </c>
      <c r="F125" s="27" t="s">
        <v>58</v>
      </c>
    </row>
    <row r="126" spans="1:6" x14ac:dyDescent="0.3">
      <c r="A126" s="15">
        <v>2</v>
      </c>
      <c r="B126" s="9">
        <v>2</v>
      </c>
      <c r="C126" s="9" t="s">
        <v>80</v>
      </c>
      <c r="D126" s="9" t="s">
        <v>29</v>
      </c>
      <c r="E126" s="15" t="s">
        <v>42</v>
      </c>
      <c r="F126" s="15" t="s">
        <v>44</v>
      </c>
    </row>
    <row r="127" spans="1:6" x14ac:dyDescent="0.3">
      <c r="A127" s="15">
        <v>2</v>
      </c>
      <c r="B127" s="12">
        <v>1</v>
      </c>
      <c r="C127" s="28" t="s">
        <v>81</v>
      </c>
      <c r="D127" s="15" t="s">
        <v>0</v>
      </c>
      <c r="E127" s="15" t="s">
        <v>41</v>
      </c>
      <c r="F127" s="15" t="s">
        <v>57</v>
      </c>
    </row>
    <row r="128" spans="1:6" x14ac:dyDescent="0.3">
      <c r="A128" s="4">
        <v>2</v>
      </c>
      <c r="B128" s="7">
        <v>1</v>
      </c>
      <c r="C128" s="7" t="s">
        <v>81</v>
      </c>
      <c r="D128" s="4" t="s">
        <v>40</v>
      </c>
      <c r="E128" s="4" t="s">
        <v>9</v>
      </c>
      <c r="F128" s="4" t="s">
        <v>57</v>
      </c>
    </row>
    <row r="129" spans="1:6" x14ac:dyDescent="0.3">
      <c r="A129" s="15">
        <v>2</v>
      </c>
      <c r="B129" s="12">
        <v>1</v>
      </c>
      <c r="C129" s="28" t="s">
        <v>81</v>
      </c>
      <c r="D129" s="15" t="s">
        <v>0</v>
      </c>
      <c r="E129" s="15" t="s">
        <v>41</v>
      </c>
      <c r="F129" s="15" t="s">
        <v>56</v>
      </c>
    </row>
    <row r="130" spans="1:6" x14ac:dyDescent="0.3">
      <c r="A130" s="4">
        <v>2</v>
      </c>
      <c r="B130" s="7">
        <v>2</v>
      </c>
      <c r="C130" s="7" t="s">
        <v>80</v>
      </c>
      <c r="D130" s="4" t="s">
        <v>40</v>
      </c>
      <c r="E130" s="4" t="s">
        <v>10</v>
      </c>
      <c r="F130" s="4" t="s">
        <v>56</v>
      </c>
    </row>
    <row r="131" spans="1:6" x14ac:dyDescent="0.3">
      <c r="A131" s="15">
        <v>2</v>
      </c>
      <c r="B131" s="12">
        <v>2</v>
      </c>
      <c r="C131" s="28" t="s">
        <v>80</v>
      </c>
      <c r="D131" s="15" t="s">
        <v>0</v>
      </c>
      <c r="E131" s="15" t="s">
        <v>41</v>
      </c>
      <c r="F131" s="15" t="s">
        <v>55</v>
      </c>
    </row>
    <row r="132" spans="1:6" x14ac:dyDescent="0.3">
      <c r="A132" s="4">
        <v>2</v>
      </c>
      <c r="B132" s="7">
        <v>1</v>
      </c>
      <c r="C132" s="7" t="s">
        <v>81</v>
      </c>
      <c r="D132" s="4" t="s">
        <v>40</v>
      </c>
      <c r="E132" s="4" t="s">
        <v>10</v>
      </c>
      <c r="F132" s="4" t="s">
        <v>55</v>
      </c>
    </row>
    <row r="133" spans="1:6" x14ac:dyDescent="0.3">
      <c r="A133" s="27">
        <v>2</v>
      </c>
      <c r="B133" s="9">
        <v>2</v>
      </c>
      <c r="C133" s="9" t="s">
        <v>80</v>
      </c>
      <c r="D133" s="9" t="s">
        <v>29</v>
      </c>
      <c r="E133" s="27" t="s">
        <v>42</v>
      </c>
      <c r="F133" s="27" t="s">
        <v>45</v>
      </c>
    </row>
    <row r="134" spans="1:6" x14ac:dyDescent="0.3">
      <c r="A134" s="15">
        <v>2</v>
      </c>
      <c r="B134" s="12">
        <v>1</v>
      </c>
      <c r="C134" s="7" t="s">
        <v>81</v>
      </c>
      <c r="D134" s="15" t="s">
        <v>0</v>
      </c>
      <c r="E134" s="15" t="s">
        <v>41</v>
      </c>
      <c r="F134" s="15" t="s">
        <v>54</v>
      </c>
    </row>
    <row r="135" spans="1:6" x14ac:dyDescent="0.3">
      <c r="A135" s="27">
        <v>2</v>
      </c>
      <c r="B135" s="28">
        <v>2</v>
      </c>
      <c r="C135" s="28" t="s">
        <v>80</v>
      </c>
      <c r="D135" s="27" t="s">
        <v>40</v>
      </c>
      <c r="E135" s="27" t="s">
        <v>10</v>
      </c>
      <c r="F135" s="27" t="s">
        <v>54</v>
      </c>
    </row>
    <row r="136" spans="1:6" x14ac:dyDescent="0.3">
      <c r="A136" s="15">
        <v>2</v>
      </c>
      <c r="B136" s="9">
        <v>1</v>
      </c>
      <c r="C136" s="9" t="s">
        <v>81</v>
      </c>
      <c r="D136" s="9" t="s">
        <v>29</v>
      </c>
      <c r="E136" s="15" t="s">
        <v>42</v>
      </c>
      <c r="F136" s="15" t="s">
        <v>46</v>
      </c>
    </row>
    <row r="137" spans="1:6" x14ac:dyDescent="0.3">
      <c r="A137" s="27">
        <v>2</v>
      </c>
      <c r="B137" s="9">
        <v>1</v>
      </c>
      <c r="C137" s="9" t="s">
        <v>81</v>
      </c>
      <c r="D137" s="9" t="s">
        <v>29</v>
      </c>
      <c r="E137" s="27" t="s">
        <v>42</v>
      </c>
      <c r="F137" s="27" t="s">
        <v>47</v>
      </c>
    </row>
    <row r="138" spans="1:6" x14ac:dyDescent="0.3">
      <c r="A138" s="15">
        <v>2</v>
      </c>
      <c r="B138" s="12">
        <v>2</v>
      </c>
      <c r="C138" s="12" t="s">
        <v>80</v>
      </c>
      <c r="D138" s="15" t="s">
        <v>0</v>
      </c>
      <c r="E138" s="15" t="s">
        <v>41</v>
      </c>
      <c r="F138" s="15" t="s">
        <v>53</v>
      </c>
    </row>
    <row r="139" spans="1:6" x14ac:dyDescent="0.3">
      <c r="A139" s="27">
        <v>2</v>
      </c>
      <c r="B139" s="28">
        <v>2</v>
      </c>
      <c r="C139" s="28" t="s">
        <v>80</v>
      </c>
      <c r="D139" s="27" t="s">
        <v>40</v>
      </c>
      <c r="E139" s="27" t="s">
        <v>9</v>
      </c>
      <c r="F139" s="27" t="s">
        <v>53</v>
      </c>
    </row>
    <row r="140" spans="1:6" x14ac:dyDescent="0.3">
      <c r="A140" s="15">
        <v>2</v>
      </c>
      <c r="B140" s="9">
        <v>1</v>
      </c>
      <c r="C140" s="9" t="s">
        <v>81</v>
      </c>
      <c r="D140" s="9" t="s">
        <v>29</v>
      </c>
      <c r="E140" s="15" t="s">
        <v>42</v>
      </c>
      <c r="F140" s="15" t="s">
        <v>48</v>
      </c>
    </row>
    <row r="141" spans="1:6" x14ac:dyDescent="0.3">
      <c r="A141" s="27">
        <v>2</v>
      </c>
      <c r="B141" s="28">
        <v>2</v>
      </c>
      <c r="C141" s="28" t="s">
        <v>80</v>
      </c>
      <c r="D141" s="27" t="s">
        <v>0</v>
      </c>
      <c r="E141" s="27" t="s">
        <v>41</v>
      </c>
      <c r="F141" s="27" t="s">
        <v>52</v>
      </c>
    </row>
    <row r="142" spans="1:6" x14ac:dyDescent="0.3">
      <c r="A142" s="15">
        <v>2</v>
      </c>
      <c r="B142" s="12">
        <v>2</v>
      </c>
      <c r="C142" s="12" t="s">
        <v>80</v>
      </c>
      <c r="D142" s="15" t="s">
        <v>40</v>
      </c>
      <c r="E142" s="15" t="s">
        <v>9</v>
      </c>
      <c r="F142" s="15" t="s">
        <v>52</v>
      </c>
    </row>
    <row r="143" spans="1:6" x14ac:dyDescent="0.3">
      <c r="A143" s="27">
        <v>2</v>
      </c>
      <c r="B143" s="9">
        <v>2</v>
      </c>
      <c r="C143" s="9" t="s">
        <v>80</v>
      </c>
      <c r="D143" s="9" t="s">
        <v>29</v>
      </c>
      <c r="E143" s="27" t="s">
        <v>42</v>
      </c>
      <c r="F143" s="27" t="s">
        <v>49</v>
      </c>
    </row>
    <row r="144" spans="1:6" x14ac:dyDescent="0.3">
      <c r="A144" s="15">
        <v>2</v>
      </c>
      <c r="B144" s="9">
        <v>1</v>
      </c>
      <c r="C144" s="9" t="s">
        <v>81</v>
      </c>
      <c r="D144" s="9" t="s">
        <v>29</v>
      </c>
      <c r="E144" s="15" t="s">
        <v>42</v>
      </c>
      <c r="F144" s="15" t="s">
        <v>50</v>
      </c>
    </row>
    <row r="145" spans="1:6" x14ac:dyDescent="0.3">
      <c r="A145" s="27">
        <v>2</v>
      </c>
      <c r="B145" s="28">
        <v>2</v>
      </c>
      <c r="C145" s="28" t="s">
        <v>80</v>
      </c>
      <c r="D145" s="27" t="s">
        <v>0</v>
      </c>
      <c r="E145" s="27" t="s">
        <v>41</v>
      </c>
      <c r="F145" s="27" t="s">
        <v>51</v>
      </c>
    </row>
    <row r="146" spans="1:6" x14ac:dyDescent="0.3">
      <c r="A146" s="15">
        <v>2</v>
      </c>
      <c r="B146" s="12">
        <v>1</v>
      </c>
      <c r="C146" s="12" t="s">
        <v>81</v>
      </c>
      <c r="D146" s="15" t="s">
        <v>40</v>
      </c>
      <c r="E146" s="15" t="s">
        <v>10</v>
      </c>
      <c r="F146" s="15" t="s">
        <v>51</v>
      </c>
    </row>
    <row r="147" spans="1:6" x14ac:dyDescent="0.3">
      <c r="A147" s="12">
        <v>3</v>
      </c>
      <c r="B147" s="12">
        <v>1</v>
      </c>
      <c r="C147" s="12" t="s">
        <v>81</v>
      </c>
      <c r="D147" s="15" t="s">
        <v>0</v>
      </c>
      <c r="E147" s="15" t="s">
        <v>41</v>
      </c>
      <c r="F147" s="15" t="s">
        <v>59</v>
      </c>
    </row>
    <row r="148" spans="1:6" x14ac:dyDescent="0.3">
      <c r="A148" s="7">
        <v>3</v>
      </c>
      <c r="B148" s="7">
        <v>2</v>
      </c>
      <c r="C148" s="7" t="s">
        <v>80</v>
      </c>
      <c r="D148" s="4" t="s">
        <v>40</v>
      </c>
      <c r="E148" s="4" t="s">
        <v>10</v>
      </c>
      <c r="F148" s="4" t="s">
        <v>59</v>
      </c>
    </row>
    <row r="149" spans="1:6" x14ac:dyDescent="0.3">
      <c r="A149" s="12">
        <v>3</v>
      </c>
      <c r="B149" s="12">
        <v>2</v>
      </c>
      <c r="C149" s="12" t="s">
        <v>80</v>
      </c>
      <c r="D149" s="15" t="s">
        <v>0</v>
      </c>
      <c r="E149" s="15" t="s">
        <v>41</v>
      </c>
      <c r="F149" s="15" t="s">
        <v>60</v>
      </c>
    </row>
    <row r="150" spans="1:6" x14ac:dyDescent="0.3">
      <c r="A150" s="7">
        <v>3</v>
      </c>
      <c r="B150" s="7">
        <v>1</v>
      </c>
      <c r="C150" s="7" t="s">
        <v>81</v>
      </c>
      <c r="D150" s="4" t="s">
        <v>40</v>
      </c>
      <c r="E150" s="4" t="s">
        <v>10</v>
      </c>
      <c r="F150" s="4" t="s">
        <v>60</v>
      </c>
    </row>
    <row r="151" spans="1:6" x14ac:dyDescent="0.3">
      <c r="A151" s="12">
        <v>3</v>
      </c>
      <c r="B151" s="10">
        <v>1</v>
      </c>
      <c r="C151" s="10" t="s">
        <v>81</v>
      </c>
      <c r="D151" s="10" t="s">
        <v>29</v>
      </c>
      <c r="E151" s="15" t="s">
        <v>42</v>
      </c>
      <c r="F151" s="15" t="s">
        <v>58</v>
      </c>
    </row>
    <row r="152" spans="1:6" x14ac:dyDescent="0.3">
      <c r="A152" s="7">
        <v>3</v>
      </c>
      <c r="B152" s="7">
        <v>1</v>
      </c>
      <c r="C152" s="7" t="s">
        <v>81</v>
      </c>
      <c r="D152" s="4" t="s">
        <v>0</v>
      </c>
      <c r="E152" s="4" t="s">
        <v>41</v>
      </c>
      <c r="F152" s="4" t="s">
        <v>61</v>
      </c>
    </row>
    <row r="153" spans="1:6" x14ac:dyDescent="0.3">
      <c r="A153" s="12">
        <v>3</v>
      </c>
      <c r="B153" s="12">
        <v>2</v>
      </c>
      <c r="C153" s="12" t="s">
        <v>80</v>
      </c>
      <c r="D153" s="15" t="s">
        <v>40</v>
      </c>
      <c r="E153" s="15" t="s">
        <v>10</v>
      </c>
      <c r="F153" s="15" t="s">
        <v>61</v>
      </c>
    </row>
    <row r="154" spans="1:6" x14ac:dyDescent="0.3">
      <c r="A154" s="7">
        <v>3</v>
      </c>
      <c r="B154" s="10">
        <v>1</v>
      </c>
      <c r="C154" s="10" t="s">
        <v>81</v>
      </c>
      <c r="D154" s="10" t="s">
        <v>29</v>
      </c>
      <c r="E154" s="4" t="s">
        <v>42</v>
      </c>
      <c r="F154" s="4" t="s">
        <v>57</v>
      </c>
    </row>
    <row r="155" spans="1:6" x14ac:dyDescent="0.3">
      <c r="A155" s="12">
        <v>3</v>
      </c>
      <c r="B155" s="12">
        <v>2</v>
      </c>
      <c r="C155" s="12" t="s">
        <v>80</v>
      </c>
      <c r="D155" s="15" t="s">
        <v>0</v>
      </c>
      <c r="E155" s="15" t="s">
        <v>41</v>
      </c>
      <c r="F155" s="15" t="s">
        <v>62</v>
      </c>
    </row>
    <row r="156" spans="1:6" x14ac:dyDescent="0.3">
      <c r="A156" s="7">
        <v>3</v>
      </c>
      <c r="B156" s="7">
        <v>2</v>
      </c>
      <c r="C156" s="7" t="s">
        <v>80</v>
      </c>
      <c r="D156" s="4" t="s">
        <v>40</v>
      </c>
      <c r="E156" s="4" t="s">
        <v>9</v>
      </c>
      <c r="F156" s="4" t="s">
        <v>62</v>
      </c>
    </row>
    <row r="157" spans="1:6" x14ac:dyDescent="0.3">
      <c r="A157" s="12">
        <v>3</v>
      </c>
      <c r="B157" s="10">
        <v>2</v>
      </c>
      <c r="C157" s="10" t="s">
        <v>80</v>
      </c>
      <c r="D157" s="10" t="s">
        <v>29</v>
      </c>
      <c r="E157" s="15" t="s">
        <v>42</v>
      </c>
      <c r="F157" s="15" t="s">
        <v>56</v>
      </c>
    </row>
    <row r="158" spans="1:6" x14ac:dyDescent="0.3">
      <c r="A158" s="7">
        <v>3</v>
      </c>
      <c r="B158" s="10">
        <v>1</v>
      </c>
      <c r="C158" s="10" t="s">
        <v>81</v>
      </c>
      <c r="D158" s="10" t="s">
        <v>29</v>
      </c>
      <c r="E158" s="4" t="s">
        <v>42</v>
      </c>
      <c r="F158" s="4" t="s">
        <v>55</v>
      </c>
    </row>
    <row r="159" spans="1:6" x14ac:dyDescent="0.3">
      <c r="A159" s="12">
        <v>3</v>
      </c>
      <c r="B159" s="10">
        <v>1</v>
      </c>
      <c r="C159" s="10" t="s">
        <v>81</v>
      </c>
      <c r="D159" s="10" t="s">
        <v>29</v>
      </c>
      <c r="E159" s="15" t="s">
        <v>42</v>
      </c>
      <c r="F159" s="15" t="s">
        <v>54</v>
      </c>
    </row>
    <row r="160" spans="1:6" x14ac:dyDescent="0.3">
      <c r="A160" s="7">
        <v>3</v>
      </c>
      <c r="B160" s="7">
        <v>2</v>
      </c>
      <c r="C160" s="7" t="s">
        <v>80</v>
      </c>
      <c r="D160" s="4" t="s">
        <v>0</v>
      </c>
      <c r="E160" s="4" t="s">
        <v>41</v>
      </c>
      <c r="F160" s="4" t="s">
        <v>63</v>
      </c>
    </row>
    <row r="161" spans="1:6" x14ac:dyDescent="0.3">
      <c r="A161" s="12">
        <v>3</v>
      </c>
      <c r="B161" s="12">
        <v>2</v>
      </c>
      <c r="C161" s="12" t="s">
        <v>80</v>
      </c>
      <c r="D161" s="15" t="s">
        <v>40</v>
      </c>
      <c r="E161" s="15" t="s">
        <v>9</v>
      </c>
      <c r="F161" s="15" t="s">
        <v>63</v>
      </c>
    </row>
    <row r="162" spans="1:6" x14ac:dyDescent="0.3">
      <c r="A162" s="7">
        <v>3</v>
      </c>
      <c r="B162" s="7">
        <v>2</v>
      </c>
      <c r="C162" s="7" t="s">
        <v>80</v>
      </c>
      <c r="D162" s="4" t="s">
        <v>0</v>
      </c>
      <c r="E162" s="4" t="s">
        <v>41</v>
      </c>
      <c r="F162" s="4" t="s">
        <v>64</v>
      </c>
    </row>
    <row r="163" spans="1:6" x14ac:dyDescent="0.3">
      <c r="A163" s="12">
        <v>3</v>
      </c>
      <c r="B163" s="12">
        <v>1</v>
      </c>
      <c r="C163" s="12" t="s">
        <v>81</v>
      </c>
      <c r="D163" s="15" t="s">
        <v>40</v>
      </c>
      <c r="E163" s="15" t="s">
        <v>10</v>
      </c>
      <c r="F163" s="15" t="s">
        <v>64</v>
      </c>
    </row>
    <row r="164" spans="1:6" x14ac:dyDescent="0.3">
      <c r="A164" s="7">
        <v>3</v>
      </c>
      <c r="B164" s="10">
        <v>2</v>
      </c>
      <c r="C164" s="10" t="s">
        <v>80</v>
      </c>
      <c r="D164" s="10" t="s">
        <v>29</v>
      </c>
      <c r="E164" s="4" t="s">
        <v>42</v>
      </c>
      <c r="F164" s="4" t="s">
        <v>53</v>
      </c>
    </row>
    <row r="165" spans="1:6" x14ac:dyDescent="0.3">
      <c r="A165" s="12">
        <v>3</v>
      </c>
      <c r="B165" s="12">
        <v>1</v>
      </c>
      <c r="C165" s="12" t="s">
        <v>81</v>
      </c>
      <c r="D165" s="15" t="s">
        <v>0</v>
      </c>
      <c r="E165" s="15" t="s">
        <v>41</v>
      </c>
      <c r="F165" s="15" t="s">
        <v>65</v>
      </c>
    </row>
    <row r="166" spans="1:6" x14ac:dyDescent="0.3">
      <c r="A166" s="7">
        <v>3</v>
      </c>
      <c r="B166" s="7">
        <v>1</v>
      </c>
      <c r="C166" s="7" t="s">
        <v>81</v>
      </c>
      <c r="D166" s="4" t="s">
        <v>40</v>
      </c>
      <c r="E166" s="4" t="s">
        <v>9</v>
      </c>
      <c r="F166" s="4" t="s">
        <v>65</v>
      </c>
    </row>
    <row r="167" spans="1:6" x14ac:dyDescent="0.3">
      <c r="A167" s="12">
        <v>3</v>
      </c>
      <c r="B167" s="10">
        <v>2</v>
      </c>
      <c r="C167" s="10" t="s">
        <v>80</v>
      </c>
      <c r="D167" s="10" t="s">
        <v>29</v>
      </c>
      <c r="E167" s="15" t="s">
        <v>42</v>
      </c>
      <c r="F167" s="15" t="s">
        <v>52</v>
      </c>
    </row>
    <row r="168" spans="1:6" x14ac:dyDescent="0.3">
      <c r="A168" s="7">
        <v>3</v>
      </c>
      <c r="B168" s="10">
        <v>2</v>
      </c>
      <c r="C168" s="10" t="s">
        <v>80</v>
      </c>
      <c r="D168" s="10" t="s">
        <v>29</v>
      </c>
      <c r="E168" s="4" t="s">
        <v>42</v>
      </c>
      <c r="F168" s="4" t="s">
        <v>51</v>
      </c>
    </row>
    <row r="169" spans="1:6" x14ac:dyDescent="0.3">
      <c r="A169" s="12">
        <v>3</v>
      </c>
      <c r="B169" s="12">
        <v>1</v>
      </c>
      <c r="C169" s="12" t="s">
        <v>81</v>
      </c>
      <c r="D169" s="15" t="s">
        <v>0</v>
      </c>
      <c r="E169" s="15" t="s">
        <v>41</v>
      </c>
      <c r="F169" s="15" t="s">
        <v>66</v>
      </c>
    </row>
    <row r="170" spans="1:6" x14ac:dyDescent="0.3">
      <c r="A170" s="7">
        <v>3</v>
      </c>
      <c r="B170" s="7">
        <v>1</v>
      </c>
      <c r="C170" s="7" t="s">
        <v>81</v>
      </c>
      <c r="D170" s="4" t="s">
        <v>40</v>
      </c>
      <c r="E170" s="4" t="s">
        <v>9</v>
      </c>
      <c r="F170" s="4" t="s">
        <v>66</v>
      </c>
    </row>
    <row r="171" spans="1:6" x14ac:dyDescent="0.3">
      <c r="A171" s="27">
        <v>4</v>
      </c>
      <c r="B171" s="11">
        <v>2</v>
      </c>
      <c r="C171" s="11" t="s">
        <v>80</v>
      </c>
      <c r="D171" s="11" t="s">
        <v>29</v>
      </c>
      <c r="E171" s="27" t="s">
        <v>42</v>
      </c>
      <c r="F171" s="27" t="s">
        <v>59</v>
      </c>
    </row>
    <row r="172" spans="1:6" x14ac:dyDescent="0.3">
      <c r="A172" s="15">
        <v>4</v>
      </c>
      <c r="B172" s="12">
        <v>1</v>
      </c>
      <c r="C172" s="12" t="s">
        <v>81</v>
      </c>
      <c r="D172" s="15" t="s">
        <v>0</v>
      </c>
      <c r="E172" s="15" t="s">
        <v>41</v>
      </c>
      <c r="F172" s="15" t="s">
        <v>74</v>
      </c>
    </row>
    <row r="173" spans="1:6" x14ac:dyDescent="0.3">
      <c r="A173" s="27">
        <v>4</v>
      </c>
      <c r="B173" s="28">
        <v>1</v>
      </c>
      <c r="C173" s="28" t="s">
        <v>81</v>
      </c>
      <c r="D173" s="27" t="s">
        <v>40</v>
      </c>
      <c r="E173" s="27" t="s">
        <v>9</v>
      </c>
      <c r="F173" s="27" t="s">
        <v>74</v>
      </c>
    </row>
    <row r="174" spans="1:6" x14ac:dyDescent="0.3">
      <c r="A174" s="15">
        <v>4</v>
      </c>
      <c r="B174" s="12">
        <v>1</v>
      </c>
      <c r="C174" s="12" t="s">
        <v>81</v>
      </c>
      <c r="D174" s="15" t="s">
        <v>0</v>
      </c>
      <c r="E174" s="15" t="s">
        <v>41</v>
      </c>
      <c r="F174" s="15" t="s">
        <v>73</v>
      </c>
    </row>
    <row r="175" spans="1:6" x14ac:dyDescent="0.3">
      <c r="A175" s="27">
        <v>4</v>
      </c>
      <c r="B175" s="28">
        <v>2</v>
      </c>
      <c r="C175" s="28" t="s">
        <v>80</v>
      </c>
      <c r="D175" s="27" t="s">
        <v>40</v>
      </c>
      <c r="E175" s="27" t="s">
        <v>10</v>
      </c>
      <c r="F175" s="27" t="s">
        <v>73</v>
      </c>
    </row>
    <row r="176" spans="1:6" x14ac:dyDescent="0.3">
      <c r="A176" s="15">
        <v>4</v>
      </c>
      <c r="B176" s="11">
        <v>1</v>
      </c>
      <c r="C176" s="11" t="s">
        <v>81</v>
      </c>
      <c r="D176" s="11" t="s">
        <v>29</v>
      </c>
      <c r="E176" s="15" t="s">
        <v>42</v>
      </c>
      <c r="F176" s="15" t="s">
        <v>60</v>
      </c>
    </row>
    <row r="177" spans="1:6" x14ac:dyDescent="0.3">
      <c r="A177" s="27">
        <v>4</v>
      </c>
      <c r="B177" s="11">
        <v>1</v>
      </c>
      <c r="C177" s="11" t="s">
        <v>81</v>
      </c>
      <c r="D177" s="11" t="s">
        <v>29</v>
      </c>
      <c r="E177" s="27" t="s">
        <v>42</v>
      </c>
      <c r="F177" s="27" t="s">
        <v>61</v>
      </c>
    </row>
    <row r="178" spans="1:6" x14ac:dyDescent="0.3">
      <c r="A178" s="15">
        <v>4</v>
      </c>
      <c r="B178" s="12">
        <v>2</v>
      </c>
      <c r="C178" s="12" t="s">
        <v>80</v>
      </c>
      <c r="D178" s="15" t="s">
        <v>0</v>
      </c>
      <c r="E178" s="15" t="s">
        <v>41</v>
      </c>
      <c r="F178" s="15" t="s">
        <v>72</v>
      </c>
    </row>
    <row r="179" spans="1:6" x14ac:dyDescent="0.3">
      <c r="A179" s="27">
        <v>4</v>
      </c>
      <c r="B179" s="28">
        <v>2</v>
      </c>
      <c r="C179" s="28" t="s">
        <v>80</v>
      </c>
      <c r="D179" s="27" t="s">
        <v>40</v>
      </c>
      <c r="E179" s="27" t="s">
        <v>9</v>
      </c>
      <c r="F179" s="27" t="s">
        <v>72</v>
      </c>
    </row>
    <row r="180" spans="1:6" x14ac:dyDescent="0.3">
      <c r="A180" s="15">
        <v>4</v>
      </c>
      <c r="B180" s="12">
        <v>2</v>
      </c>
      <c r="C180" s="12" t="s">
        <v>80</v>
      </c>
      <c r="D180" s="15" t="s">
        <v>0</v>
      </c>
      <c r="E180" s="15" t="s">
        <v>41</v>
      </c>
      <c r="F180" s="15" t="s">
        <v>71</v>
      </c>
    </row>
    <row r="181" spans="1:6" x14ac:dyDescent="0.3">
      <c r="A181" s="27">
        <v>4</v>
      </c>
      <c r="B181" s="28">
        <v>1</v>
      </c>
      <c r="C181" s="28" t="s">
        <v>81</v>
      </c>
      <c r="D181" s="27" t="s">
        <v>40</v>
      </c>
      <c r="E181" s="27" t="s">
        <v>10</v>
      </c>
      <c r="F181" s="27" t="s">
        <v>71</v>
      </c>
    </row>
    <row r="182" spans="1:6" x14ac:dyDescent="0.3">
      <c r="A182" s="15">
        <v>4</v>
      </c>
      <c r="B182" s="11">
        <v>2</v>
      </c>
      <c r="C182" s="11" t="s">
        <v>80</v>
      </c>
      <c r="D182" s="11" t="s">
        <v>29</v>
      </c>
      <c r="E182" s="15" t="s">
        <v>42</v>
      </c>
      <c r="F182" s="15" t="s">
        <v>62</v>
      </c>
    </row>
    <row r="183" spans="1:6" x14ac:dyDescent="0.3">
      <c r="A183" s="27">
        <v>4</v>
      </c>
      <c r="B183" s="28">
        <v>1</v>
      </c>
      <c r="C183" s="28" t="s">
        <v>81</v>
      </c>
      <c r="D183" s="27" t="s">
        <v>0</v>
      </c>
      <c r="E183" s="27" t="s">
        <v>41</v>
      </c>
      <c r="F183" s="27" t="s">
        <v>70</v>
      </c>
    </row>
    <row r="184" spans="1:6" x14ac:dyDescent="0.3">
      <c r="A184" s="15">
        <v>4</v>
      </c>
      <c r="B184" s="12">
        <v>2</v>
      </c>
      <c r="C184" s="12" t="s">
        <v>80</v>
      </c>
      <c r="D184" s="15" t="s">
        <v>40</v>
      </c>
      <c r="E184" s="15" t="s">
        <v>10</v>
      </c>
      <c r="F184" s="15" t="s">
        <v>70</v>
      </c>
    </row>
    <row r="185" spans="1:6" x14ac:dyDescent="0.3">
      <c r="A185" s="27">
        <v>4</v>
      </c>
      <c r="B185" s="28">
        <v>2</v>
      </c>
      <c r="C185" s="28" t="s">
        <v>80</v>
      </c>
      <c r="D185" s="27" t="s">
        <v>0</v>
      </c>
      <c r="E185" s="27" t="s">
        <v>41</v>
      </c>
      <c r="F185" s="27" t="s">
        <v>69</v>
      </c>
    </row>
    <row r="186" spans="1:6" x14ac:dyDescent="0.3">
      <c r="A186" s="15">
        <v>4</v>
      </c>
      <c r="B186" s="12">
        <v>2</v>
      </c>
      <c r="C186" s="12" t="s">
        <v>80</v>
      </c>
      <c r="D186" s="15" t="s">
        <v>40</v>
      </c>
      <c r="E186" s="15" t="s">
        <v>9</v>
      </c>
      <c r="F186" s="15" t="s">
        <v>69</v>
      </c>
    </row>
    <row r="187" spans="1:6" x14ac:dyDescent="0.3">
      <c r="A187" s="27">
        <v>4</v>
      </c>
      <c r="B187" s="11">
        <v>1</v>
      </c>
      <c r="C187" s="11" t="s">
        <v>81</v>
      </c>
      <c r="D187" s="11" t="s">
        <v>29</v>
      </c>
      <c r="E187" s="27" t="s">
        <v>42</v>
      </c>
      <c r="F187" s="27" t="s">
        <v>63</v>
      </c>
    </row>
    <row r="188" spans="1:6" x14ac:dyDescent="0.3">
      <c r="A188" s="15">
        <v>4</v>
      </c>
      <c r="B188" s="11">
        <v>2</v>
      </c>
      <c r="C188" s="11" t="s">
        <v>80</v>
      </c>
      <c r="D188" s="11" t="s">
        <v>29</v>
      </c>
      <c r="E188" s="15" t="s">
        <v>42</v>
      </c>
      <c r="F188" s="15" t="s">
        <v>64</v>
      </c>
    </row>
    <row r="189" spans="1:6" x14ac:dyDescent="0.3">
      <c r="A189" s="27">
        <v>4</v>
      </c>
      <c r="B189" s="11">
        <v>1</v>
      </c>
      <c r="C189" s="11" t="s">
        <v>81</v>
      </c>
      <c r="D189" s="11" t="s">
        <v>29</v>
      </c>
      <c r="E189" s="27" t="s">
        <v>42</v>
      </c>
      <c r="F189" s="27" t="s">
        <v>65</v>
      </c>
    </row>
    <row r="190" spans="1:6" x14ac:dyDescent="0.3">
      <c r="A190" s="15">
        <v>4</v>
      </c>
      <c r="B190" s="12">
        <v>2</v>
      </c>
      <c r="C190" s="12" t="s">
        <v>80</v>
      </c>
      <c r="D190" s="15" t="s">
        <v>0</v>
      </c>
      <c r="E190" s="15" t="s">
        <v>41</v>
      </c>
      <c r="F190" s="15" t="s">
        <v>68</v>
      </c>
    </row>
    <row r="191" spans="1:6" x14ac:dyDescent="0.3">
      <c r="A191" s="27">
        <v>4</v>
      </c>
      <c r="B191" s="28">
        <v>1</v>
      </c>
      <c r="C191" s="28" t="s">
        <v>81</v>
      </c>
      <c r="D191" s="27" t="s">
        <v>40</v>
      </c>
      <c r="E191" s="27" t="s">
        <v>10</v>
      </c>
      <c r="F191" s="27" t="s">
        <v>68</v>
      </c>
    </row>
    <row r="192" spans="1:6" x14ac:dyDescent="0.3">
      <c r="A192" s="15">
        <v>4</v>
      </c>
      <c r="B192" s="11">
        <v>1</v>
      </c>
      <c r="C192" s="11" t="s">
        <v>80</v>
      </c>
      <c r="D192" s="11" t="s">
        <v>29</v>
      </c>
      <c r="E192" s="15" t="s">
        <v>42</v>
      </c>
      <c r="F192" s="15" t="s">
        <v>66</v>
      </c>
    </row>
    <row r="193" spans="1:6" x14ac:dyDescent="0.3">
      <c r="A193" s="27">
        <v>4</v>
      </c>
      <c r="B193" s="28">
        <v>1</v>
      </c>
      <c r="C193" s="28" t="s">
        <v>81</v>
      </c>
      <c r="D193" s="27" t="s">
        <v>0</v>
      </c>
      <c r="E193" s="27" t="s">
        <v>41</v>
      </c>
      <c r="F193" s="27" t="s">
        <v>67</v>
      </c>
    </row>
    <row r="194" spans="1:6" x14ac:dyDescent="0.3">
      <c r="A194" s="15">
        <v>4</v>
      </c>
      <c r="B194" s="12">
        <v>1</v>
      </c>
      <c r="C194" s="12" t="s">
        <v>81</v>
      </c>
      <c r="D194" s="15" t="s">
        <v>40</v>
      </c>
      <c r="E194" s="15" t="s">
        <v>9</v>
      </c>
      <c r="F194" s="15" t="s">
        <v>67</v>
      </c>
    </row>
    <row r="195" spans="1:6" x14ac:dyDescent="0.3">
      <c r="A195" s="29" t="s">
        <v>25</v>
      </c>
      <c r="B195" s="29"/>
      <c r="C195" s="29"/>
      <c r="D195" s="29"/>
      <c r="E195" s="29"/>
      <c r="F195" s="29"/>
    </row>
    <row r="196" spans="1:6" x14ac:dyDescent="0.3">
      <c r="A196" s="12">
        <v>1</v>
      </c>
      <c r="B196" s="14">
        <v>2</v>
      </c>
      <c r="C196" s="13" t="s">
        <v>80</v>
      </c>
      <c r="D196" s="8" t="s">
        <v>29</v>
      </c>
      <c r="E196" s="15" t="s">
        <v>42</v>
      </c>
      <c r="F196" s="15" t="s">
        <v>69</v>
      </c>
    </row>
    <row r="197" spans="1:6" x14ac:dyDescent="0.3">
      <c r="A197" s="28">
        <v>1</v>
      </c>
      <c r="B197" s="27">
        <v>2</v>
      </c>
      <c r="C197" s="27" t="s">
        <v>80</v>
      </c>
      <c r="D197" s="27" t="s">
        <v>0</v>
      </c>
      <c r="E197" s="27" t="s">
        <v>41</v>
      </c>
      <c r="F197" s="27" t="s">
        <v>47</v>
      </c>
    </row>
    <row r="198" spans="1:6" x14ac:dyDescent="0.3">
      <c r="A198" s="12">
        <v>1</v>
      </c>
      <c r="B198" s="15">
        <v>2</v>
      </c>
      <c r="C198" s="15" t="s">
        <v>80</v>
      </c>
      <c r="D198" s="15" t="s">
        <v>40</v>
      </c>
      <c r="E198" s="15" t="s">
        <v>9</v>
      </c>
      <c r="F198" s="15" t="s">
        <v>47</v>
      </c>
    </row>
    <row r="199" spans="1:6" x14ac:dyDescent="0.3">
      <c r="A199" s="28">
        <v>1</v>
      </c>
      <c r="B199" s="14">
        <v>1</v>
      </c>
      <c r="C199" s="14" t="s">
        <v>81</v>
      </c>
      <c r="D199" s="8" t="s">
        <v>29</v>
      </c>
      <c r="E199" s="27" t="s">
        <v>42</v>
      </c>
      <c r="F199" s="27" t="s">
        <v>72</v>
      </c>
    </row>
    <row r="200" spans="1:6" x14ac:dyDescent="0.3">
      <c r="A200" s="12">
        <v>1</v>
      </c>
      <c r="B200" s="14">
        <v>2</v>
      </c>
      <c r="C200" s="13" t="s">
        <v>80</v>
      </c>
      <c r="D200" s="8" t="s">
        <v>29</v>
      </c>
      <c r="E200" s="15" t="s">
        <v>42</v>
      </c>
      <c r="F200" s="15" t="s">
        <v>70</v>
      </c>
    </row>
    <row r="201" spans="1:6" x14ac:dyDescent="0.3">
      <c r="A201" s="28">
        <v>1</v>
      </c>
      <c r="B201" s="14">
        <v>1</v>
      </c>
      <c r="C201" s="14" t="s">
        <v>81</v>
      </c>
      <c r="D201" s="8" t="s">
        <v>29</v>
      </c>
      <c r="E201" s="27" t="s">
        <v>42</v>
      </c>
      <c r="F201" s="27" t="s">
        <v>74</v>
      </c>
    </row>
    <row r="202" spans="1:6" x14ac:dyDescent="0.3">
      <c r="A202" s="12">
        <v>1</v>
      </c>
      <c r="B202" s="15">
        <v>2</v>
      </c>
      <c r="C202" s="15" t="s">
        <v>80</v>
      </c>
      <c r="D202" s="15" t="s">
        <v>0</v>
      </c>
      <c r="E202" s="15" t="s">
        <v>41</v>
      </c>
      <c r="F202" s="15" t="s">
        <v>50</v>
      </c>
    </row>
    <row r="203" spans="1:6" x14ac:dyDescent="0.3">
      <c r="A203" s="28">
        <v>1</v>
      </c>
      <c r="B203" s="27">
        <v>2</v>
      </c>
      <c r="C203" s="15" t="s">
        <v>80</v>
      </c>
      <c r="D203" s="27" t="s">
        <v>40</v>
      </c>
      <c r="E203" s="27" t="s">
        <v>9</v>
      </c>
      <c r="F203" s="27" t="s">
        <v>50</v>
      </c>
    </row>
    <row r="204" spans="1:6" x14ac:dyDescent="0.3">
      <c r="A204" s="12">
        <v>1</v>
      </c>
      <c r="B204" s="15">
        <v>2</v>
      </c>
      <c r="C204" s="15" t="s">
        <v>80</v>
      </c>
      <c r="D204" s="15" t="s">
        <v>0</v>
      </c>
      <c r="E204" s="15" t="s">
        <v>41</v>
      </c>
      <c r="F204" s="15" t="s">
        <v>49</v>
      </c>
    </row>
    <row r="205" spans="1:6" x14ac:dyDescent="0.3">
      <c r="A205" s="28">
        <v>1</v>
      </c>
      <c r="B205" s="27">
        <v>1</v>
      </c>
      <c r="C205" s="27" t="s">
        <v>81</v>
      </c>
      <c r="D205" s="27" t="s">
        <v>40</v>
      </c>
      <c r="E205" s="27" t="s">
        <v>10</v>
      </c>
      <c r="F205" s="27" t="s">
        <v>49</v>
      </c>
    </row>
    <row r="206" spans="1:6" x14ac:dyDescent="0.3">
      <c r="A206" s="12">
        <v>1</v>
      </c>
      <c r="B206" s="14">
        <v>1</v>
      </c>
      <c r="C206" s="13" t="s">
        <v>81</v>
      </c>
      <c r="D206" s="8" t="s">
        <v>29</v>
      </c>
      <c r="E206" s="15" t="s">
        <v>42</v>
      </c>
      <c r="F206" s="15" t="s">
        <v>71</v>
      </c>
    </row>
    <row r="207" spans="1:6" x14ac:dyDescent="0.3">
      <c r="A207" s="28">
        <v>1</v>
      </c>
      <c r="B207" s="27">
        <v>1</v>
      </c>
      <c r="C207" s="27" t="s">
        <v>81</v>
      </c>
      <c r="D207" s="27" t="s">
        <v>0</v>
      </c>
      <c r="E207" s="27" t="s">
        <v>41</v>
      </c>
      <c r="F207" s="27" t="s">
        <v>45</v>
      </c>
    </row>
    <row r="208" spans="1:6" x14ac:dyDescent="0.3">
      <c r="A208" s="12">
        <v>1</v>
      </c>
      <c r="B208" s="15">
        <v>2</v>
      </c>
      <c r="C208" s="15" t="s">
        <v>80</v>
      </c>
      <c r="D208" s="15" t="s">
        <v>40</v>
      </c>
      <c r="E208" s="15" t="s">
        <v>10</v>
      </c>
      <c r="F208" s="15" t="s">
        <v>45</v>
      </c>
    </row>
    <row r="209" spans="1:6" x14ac:dyDescent="0.3">
      <c r="A209" s="28">
        <v>1</v>
      </c>
      <c r="B209" s="27">
        <v>2</v>
      </c>
      <c r="C209" s="27" t="s">
        <v>80</v>
      </c>
      <c r="D209" s="27" t="s">
        <v>0</v>
      </c>
      <c r="E209" s="27" t="s">
        <v>41</v>
      </c>
      <c r="F209" s="27" t="s">
        <v>44</v>
      </c>
    </row>
    <row r="210" spans="1:6" x14ac:dyDescent="0.3">
      <c r="A210" s="12">
        <v>1</v>
      </c>
      <c r="B210" s="15">
        <v>1</v>
      </c>
      <c r="C210" s="15" t="s">
        <v>81</v>
      </c>
      <c r="D210" s="15" t="s">
        <v>40</v>
      </c>
      <c r="E210" s="15" t="s">
        <v>10</v>
      </c>
      <c r="F210" s="15" t="s">
        <v>44</v>
      </c>
    </row>
    <row r="211" spans="1:6" x14ac:dyDescent="0.3">
      <c r="A211" s="28">
        <v>1</v>
      </c>
      <c r="B211" s="14">
        <v>2</v>
      </c>
      <c r="C211" s="14" t="s">
        <v>80</v>
      </c>
      <c r="D211" s="8" t="s">
        <v>29</v>
      </c>
      <c r="E211" s="27" t="s">
        <v>42</v>
      </c>
      <c r="F211" s="27" t="s">
        <v>68</v>
      </c>
    </row>
    <row r="212" spans="1:6" x14ac:dyDescent="0.3">
      <c r="A212" s="12">
        <v>1</v>
      </c>
      <c r="B212" s="15">
        <v>1</v>
      </c>
      <c r="C212" s="15" t="s">
        <v>81</v>
      </c>
      <c r="D212" s="15" t="s">
        <v>0</v>
      </c>
      <c r="E212" s="15" t="s">
        <v>41</v>
      </c>
      <c r="F212" s="15" t="s">
        <v>46</v>
      </c>
    </row>
    <row r="213" spans="1:6" x14ac:dyDescent="0.3">
      <c r="A213" s="28">
        <v>1</v>
      </c>
      <c r="B213" s="27">
        <v>1</v>
      </c>
      <c r="C213" s="15" t="s">
        <v>81</v>
      </c>
      <c r="D213" s="27" t="s">
        <v>40</v>
      </c>
      <c r="E213" s="27" t="s">
        <v>9</v>
      </c>
      <c r="F213" s="27" t="s">
        <v>46</v>
      </c>
    </row>
    <row r="214" spans="1:6" x14ac:dyDescent="0.3">
      <c r="A214" s="12">
        <v>1</v>
      </c>
      <c r="B214" s="14">
        <v>1</v>
      </c>
      <c r="C214" s="13" t="s">
        <v>81</v>
      </c>
      <c r="D214" s="8" t="s">
        <v>29</v>
      </c>
      <c r="E214" s="15" t="s">
        <v>42</v>
      </c>
      <c r="F214" s="15" t="s">
        <v>67</v>
      </c>
    </row>
    <row r="215" spans="1:6" x14ac:dyDescent="0.3">
      <c r="A215" s="28">
        <v>1</v>
      </c>
      <c r="B215" s="14">
        <v>2</v>
      </c>
      <c r="C215" s="14" t="s">
        <v>80</v>
      </c>
      <c r="D215" s="8" t="s">
        <v>29</v>
      </c>
      <c r="E215" s="27" t="s">
        <v>42</v>
      </c>
      <c r="F215" s="27" t="s">
        <v>73</v>
      </c>
    </row>
    <row r="216" spans="1:6" x14ac:dyDescent="0.3">
      <c r="A216" s="12">
        <v>1</v>
      </c>
      <c r="B216" s="15">
        <v>1</v>
      </c>
      <c r="C216" s="15" t="s">
        <v>81</v>
      </c>
      <c r="D216" s="15" t="s">
        <v>0</v>
      </c>
      <c r="E216" s="15" t="s">
        <v>41</v>
      </c>
      <c r="F216" s="15" t="s">
        <v>43</v>
      </c>
    </row>
    <row r="217" spans="1:6" x14ac:dyDescent="0.3">
      <c r="A217" s="28">
        <v>1</v>
      </c>
      <c r="B217" s="27">
        <v>1</v>
      </c>
      <c r="C217" s="15" t="s">
        <v>81</v>
      </c>
      <c r="D217" s="27" t="s">
        <v>40</v>
      </c>
      <c r="E217" s="27" t="s">
        <v>9</v>
      </c>
      <c r="F217" s="27" t="s">
        <v>43</v>
      </c>
    </row>
    <row r="218" spans="1:6" x14ac:dyDescent="0.3">
      <c r="A218" s="12">
        <v>1</v>
      </c>
      <c r="B218" s="15">
        <v>1</v>
      </c>
      <c r="C218" s="15" t="s">
        <v>81</v>
      </c>
      <c r="D218" s="15" t="s">
        <v>0</v>
      </c>
      <c r="E218" s="15" t="s">
        <v>41</v>
      </c>
      <c r="F218" s="15" t="s">
        <v>48</v>
      </c>
    </row>
    <row r="219" spans="1:6" x14ac:dyDescent="0.3">
      <c r="A219" s="28">
        <v>1</v>
      </c>
      <c r="B219" s="27">
        <v>2</v>
      </c>
      <c r="C219" s="27" t="s">
        <v>80</v>
      </c>
      <c r="D219" s="27" t="s">
        <v>40</v>
      </c>
      <c r="E219" s="27" t="s">
        <v>10</v>
      </c>
      <c r="F219" s="27" t="s">
        <v>48</v>
      </c>
    </row>
    <row r="220" spans="1:6" x14ac:dyDescent="0.3">
      <c r="A220" s="4">
        <v>2</v>
      </c>
      <c r="B220" s="4">
        <v>1</v>
      </c>
      <c r="C220" s="4" t="s">
        <v>81</v>
      </c>
      <c r="D220" s="4" t="s">
        <v>0</v>
      </c>
      <c r="E220" s="4" t="s">
        <v>41</v>
      </c>
      <c r="F220" s="4" t="s">
        <v>51</v>
      </c>
    </row>
    <row r="221" spans="1:6" x14ac:dyDescent="0.3">
      <c r="A221" s="15">
        <v>2</v>
      </c>
      <c r="B221" s="15">
        <v>1</v>
      </c>
      <c r="C221" s="15" t="s">
        <v>81</v>
      </c>
      <c r="D221" s="15" t="s">
        <v>40</v>
      </c>
      <c r="E221" s="15" t="s">
        <v>9</v>
      </c>
      <c r="F221" s="15" t="s">
        <v>51</v>
      </c>
    </row>
    <row r="222" spans="1:6" x14ac:dyDescent="0.3">
      <c r="A222" s="4">
        <v>2</v>
      </c>
      <c r="B222" s="9">
        <v>2</v>
      </c>
      <c r="C222" s="9" t="s">
        <v>80</v>
      </c>
      <c r="D222" s="9" t="s">
        <v>29</v>
      </c>
      <c r="E222" s="4" t="s">
        <v>42</v>
      </c>
      <c r="F222" s="4" t="s">
        <v>47</v>
      </c>
    </row>
    <row r="223" spans="1:6" x14ac:dyDescent="0.3">
      <c r="A223" s="15">
        <v>2</v>
      </c>
      <c r="B223" s="15">
        <v>1</v>
      </c>
      <c r="C223" s="15" t="s">
        <v>81</v>
      </c>
      <c r="D223" s="15" t="s">
        <v>0</v>
      </c>
      <c r="E223" s="15" t="s">
        <v>41</v>
      </c>
      <c r="F223" s="15" t="s">
        <v>55</v>
      </c>
    </row>
    <row r="224" spans="1:6" x14ac:dyDescent="0.3">
      <c r="A224" s="4">
        <v>2</v>
      </c>
      <c r="B224" s="4">
        <v>1</v>
      </c>
      <c r="C224" s="4" t="s">
        <v>81</v>
      </c>
      <c r="D224" s="4" t="s">
        <v>40</v>
      </c>
      <c r="E224" s="4" t="s">
        <v>9</v>
      </c>
      <c r="F224" s="4" t="s">
        <v>55</v>
      </c>
    </row>
    <row r="225" spans="1:6" x14ac:dyDescent="0.3">
      <c r="A225" s="15">
        <v>2</v>
      </c>
      <c r="B225" s="9">
        <v>2</v>
      </c>
      <c r="C225" s="9" t="s">
        <v>80</v>
      </c>
      <c r="D225" s="9" t="s">
        <v>29</v>
      </c>
      <c r="E225" s="15" t="s">
        <v>42</v>
      </c>
      <c r="F225" s="15" t="s">
        <v>50</v>
      </c>
    </row>
    <row r="226" spans="1:6" x14ac:dyDescent="0.3">
      <c r="A226" s="15">
        <v>2</v>
      </c>
      <c r="B226" s="15">
        <v>1</v>
      </c>
      <c r="C226" s="15" t="s">
        <v>81</v>
      </c>
      <c r="D226" s="15" t="s">
        <v>0</v>
      </c>
      <c r="E226" s="15" t="s">
        <v>41</v>
      </c>
      <c r="F226" s="15" t="s">
        <v>53</v>
      </c>
    </row>
    <row r="227" spans="1:6" x14ac:dyDescent="0.3">
      <c r="A227" s="27">
        <v>2</v>
      </c>
      <c r="B227" s="27">
        <v>1</v>
      </c>
      <c r="C227" s="27" t="s">
        <v>80</v>
      </c>
      <c r="D227" s="27" t="s">
        <v>40</v>
      </c>
      <c r="E227" s="27" t="s">
        <v>10</v>
      </c>
      <c r="F227" s="27" t="s">
        <v>53</v>
      </c>
    </row>
    <row r="228" spans="1:6" x14ac:dyDescent="0.3">
      <c r="A228" s="4">
        <v>2</v>
      </c>
      <c r="B228" s="4">
        <v>2</v>
      </c>
      <c r="C228" s="4" t="s">
        <v>80</v>
      </c>
      <c r="D228" s="4" t="s">
        <v>0</v>
      </c>
      <c r="E228" s="4" t="s">
        <v>41</v>
      </c>
      <c r="F228" s="4" t="s">
        <v>57</v>
      </c>
    </row>
    <row r="229" spans="1:6" x14ac:dyDescent="0.3">
      <c r="A229" s="15">
        <v>2</v>
      </c>
      <c r="B229" s="15">
        <v>1</v>
      </c>
      <c r="C229" s="15" t="s">
        <v>81</v>
      </c>
      <c r="D229" s="15" t="s">
        <v>40</v>
      </c>
      <c r="E229" s="15" t="s">
        <v>10</v>
      </c>
      <c r="F229" s="15" t="s">
        <v>57</v>
      </c>
    </row>
    <row r="230" spans="1:6" x14ac:dyDescent="0.3">
      <c r="A230" s="4">
        <v>2</v>
      </c>
      <c r="B230" s="9">
        <v>1</v>
      </c>
      <c r="C230" s="9" t="s">
        <v>81</v>
      </c>
      <c r="D230" s="9" t="s">
        <v>29</v>
      </c>
      <c r="E230" s="4" t="s">
        <v>42</v>
      </c>
      <c r="F230" s="4" t="s">
        <v>49</v>
      </c>
    </row>
    <row r="231" spans="1:6" x14ac:dyDescent="0.3">
      <c r="A231" s="15">
        <v>2</v>
      </c>
      <c r="B231" s="9">
        <v>2</v>
      </c>
      <c r="C231" s="9" t="s">
        <v>80</v>
      </c>
      <c r="D231" s="9" t="s">
        <v>29</v>
      </c>
      <c r="E231" s="15" t="s">
        <v>42</v>
      </c>
      <c r="F231" s="15" t="s">
        <v>45</v>
      </c>
    </row>
    <row r="232" spans="1:6" x14ac:dyDescent="0.3">
      <c r="A232" s="4">
        <v>2</v>
      </c>
      <c r="B232" s="9">
        <v>1</v>
      </c>
      <c r="C232" s="9" t="s">
        <v>81</v>
      </c>
      <c r="D232" s="9" t="s">
        <v>29</v>
      </c>
      <c r="E232" s="4" t="s">
        <v>42</v>
      </c>
      <c r="F232" s="4" t="s">
        <v>44</v>
      </c>
    </row>
    <row r="233" spans="1:6" x14ac:dyDescent="0.3">
      <c r="A233" s="15">
        <v>2</v>
      </c>
      <c r="B233" s="15">
        <v>1</v>
      </c>
      <c r="C233" s="15" t="s">
        <v>81</v>
      </c>
      <c r="D233" s="15" t="s">
        <v>0</v>
      </c>
      <c r="E233" s="15" t="s">
        <v>41</v>
      </c>
      <c r="F233" s="15" t="s">
        <v>52</v>
      </c>
    </row>
    <row r="234" spans="1:6" x14ac:dyDescent="0.3">
      <c r="A234" s="4">
        <v>2</v>
      </c>
      <c r="B234" s="4">
        <v>2</v>
      </c>
      <c r="C234" s="4" t="s">
        <v>80</v>
      </c>
      <c r="D234" s="4" t="s">
        <v>40</v>
      </c>
      <c r="E234" s="4" t="s">
        <v>10</v>
      </c>
      <c r="F234" s="4" t="s">
        <v>52</v>
      </c>
    </row>
    <row r="235" spans="1:6" x14ac:dyDescent="0.3">
      <c r="A235" s="15">
        <v>2</v>
      </c>
      <c r="B235" s="15">
        <v>2</v>
      </c>
      <c r="C235" s="15" t="s">
        <v>80</v>
      </c>
      <c r="D235" s="15" t="s">
        <v>0</v>
      </c>
      <c r="E235" s="15" t="s">
        <v>41</v>
      </c>
      <c r="F235" s="15" t="s">
        <v>56</v>
      </c>
    </row>
    <row r="236" spans="1:6" x14ac:dyDescent="0.3">
      <c r="A236" s="4">
        <v>2</v>
      </c>
      <c r="B236" s="4">
        <v>2</v>
      </c>
      <c r="C236" s="4" t="s">
        <v>80</v>
      </c>
      <c r="D236" s="4" t="s">
        <v>40</v>
      </c>
      <c r="E236" s="4" t="s">
        <v>9</v>
      </c>
      <c r="F236" s="4" t="s">
        <v>56</v>
      </c>
    </row>
    <row r="237" spans="1:6" x14ac:dyDescent="0.3">
      <c r="A237" s="15">
        <v>2</v>
      </c>
      <c r="B237" s="9">
        <v>1</v>
      </c>
      <c r="C237" s="9" t="s">
        <v>81</v>
      </c>
      <c r="D237" s="9" t="s">
        <v>29</v>
      </c>
      <c r="E237" s="15" t="s">
        <v>42</v>
      </c>
      <c r="F237" s="15" t="s">
        <v>46</v>
      </c>
    </row>
    <row r="238" spans="1:6" x14ac:dyDescent="0.3">
      <c r="A238" s="4">
        <v>2</v>
      </c>
      <c r="B238" s="4">
        <v>2</v>
      </c>
      <c r="C238" s="4" t="s">
        <v>80</v>
      </c>
      <c r="D238" s="4" t="s">
        <v>0</v>
      </c>
      <c r="E238" s="4" t="s">
        <v>41</v>
      </c>
      <c r="F238" s="4" t="s">
        <v>54</v>
      </c>
    </row>
    <row r="239" spans="1:6" x14ac:dyDescent="0.3">
      <c r="A239" s="15">
        <v>2</v>
      </c>
      <c r="B239" s="15">
        <v>2</v>
      </c>
      <c r="C239" s="15" t="s">
        <v>80</v>
      </c>
      <c r="D239" s="15" t="s">
        <v>40</v>
      </c>
      <c r="E239" s="15" t="s">
        <v>9</v>
      </c>
      <c r="F239" s="15" t="s">
        <v>54</v>
      </c>
    </row>
    <row r="240" spans="1:6" x14ac:dyDescent="0.3">
      <c r="A240" s="4">
        <v>2</v>
      </c>
      <c r="B240" s="9">
        <v>1</v>
      </c>
      <c r="C240" s="9" t="s">
        <v>81</v>
      </c>
      <c r="D240" s="9" t="s">
        <v>29</v>
      </c>
      <c r="E240" s="4" t="s">
        <v>42</v>
      </c>
      <c r="F240" s="4" t="s">
        <v>43</v>
      </c>
    </row>
    <row r="241" spans="1:6" x14ac:dyDescent="0.3">
      <c r="A241" s="15">
        <v>2</v>
      </c>
      <c r="B241" s="9">
        <v>2</v>
      </c>
      <c r="C241" s="9" t="s">
        <v>80</v>
      </c>
      <c r="D241" s="9" t="s">
        <v>29</v>
      </c>
      <c r="E241" s="15" t="s">
        <v>42</v>
      </c>
      <c r="F241" s="15" t="s">
        <v>48</v>
      </c>
    </row>
    <row r="242" spans="1:6" x14ac:dyDescent="0.3">
      <c r="A242" s="4">
        <v>2</v>
      </c>
      <c r="B242" s="4">
        <v>2</v>
      </c>
      <c r="C242" s="4" t="s">
        <v>80</v>
      </c>
      <c r="D242" s="4" t="s">
        <v>0</v>
      </c>
      <c r="E242" s="4" t="s">
        <v>41</v>
      </c>
      <c r="F242" s="4" t="s">
        <v>58</v>
      </c>
    </row>
    <row r="243" spans="1:6" x14ac:dyDescent="0.3">
      <c r="A243" s="15">
        <v>2</v>
      </c>
      <c r="B243" s="15">
        <v>1</v>
      </c>
      <c r="C243" s="15" t="s">
        <v>81</v>
      </c>
      <c r="D243" s="15" t="s">
        <v>40</v>
      </c>
      <c r="E243" s="15" t="s">
        <v>10</v>
      </c>
      <c r="F243" s="15" t="s">
        <v>58</v>
      </c>
    </row>
    <row r="244" spans="1:6" x14ac:dyDescent="0.3">
      <c r="A244" s="12">
        <v>3</v>
      </c>
      <c r="B244" s="15">
        <v>1</v>
      </c>
      <c r="C244" s="15" t="s">
        <v>81</v>
      </c>
      <c r="D244" s="15" t="s">
        <v>0</v>
      </c>
      <c r="E244" s="15" t="s">
        <v>41</v>
      </c>
      <c r="F244" s="15" t="s">
        <v>63</v>
      </c>
    </row>
    <row r="245" spans="1:6" x14ac:dyDescent="0.3">
      <c r="A245" s="28">
        <v>3</v>
      </c>
      <c r="B245" s="27">
        <v>2</v>
      </c>
      <c r="C245" s="27" t="s">
        <v>80</v>
      </c>
      <c r="D245" s="27" t="s">
        <v>40</v>
      </c>
      <c r="E245" s="27" t="s">
        <v>10</v>
      </c>
      <c r="F245" s="27" t="s">
        <v>63</v>
      </c>
    </row>
    <row r="246" spans="1:6" x14ac:dyDescent="0.3">
      <c r="A246" s="12">
        <v>3</v>
      </c>
      <c r="B246" s="15">
        <v>2</v>
      </c>
      <c r="C246" s="15" t="s">
        <v>80</v>
      </c>
      <c r="D246" s="15" t="s">
        <v>0</v>
      </c>
      <c r="E246" s="15" t="s">
        <v>41</v>
      </c>
      <c r="F246" s="15" t="s">
        <v>59</v>
      </c>
    </row>
    <row r="247" spans="1:6" x14ac:dyDescent="0.3">
      <c r="A247" s="28">
        <v>3</v>
      </c>
      <c r="B247" s="27">
        <v>1</v>
      </c>
      <c r="C247" s="27" t="s">
        <v>81</v>
      </c>
      <c r="D247" s="27" t="s">
        <v>40</v>
      </c>
      <c r="E247" s="27" t="s">
        <v>10</v>
      </c>
      <c r="F247" s="27" t="s">
        <v>59</v>
      </c>
    </row>
    <row r="248" spans="1:6" x14ac:dyDescent="0.3">
      <c r="A248" s="12">
        <v>3</v>
      </c>
      <c r="B248" s="10">
        <v>2</v>
      </c>
      <c r="C248" s="10" t="s">
        <v>80</v>
      </c>
      <c r="D248" s="10" t="s">
        <v>29</v>
      </c>
      <c r="E248" s="15" t="s">
        <v>42</v>
      </c>
      <c r="F248" s="15" t="s">
        <v>51</v>
      </c>
    </row>
    <row r="249" spans="1:6" x14ac:dyDescent="0.3">
      <c r="A249" s="28">
        <v>3</v>
      </c>
      <c r="B249" s="10">
        <v>1</v>
      </c>
      <c r="C249" s="10" t="s">
        <v>81</v>
      </c>
      <c r="D249" s="10" t="s">
        <v>29</v>
      </c>
      <c r="E249" s="27" t="s">
        <v>42</v>
      </c>
      <c r="F249" s="27" t="s">
        <v>55</v>
      </c>
    </row>
    <row r="250" spans="1:6" x14ac:dyDescent="0.3">
      <c r="A250" s="12">
        <v>3</v>
      </c>
      <c r="B250" s="15">
        <v>1</v>
      </c>
      <c r="C250" s="15" t="s">
        <v>81</v>
      </c>
      <c r="D250" s="15" t="s">
        <v>0</v>
      </c>
      <c r="E250" s="15" t="s">
        <v>41</v>
      </c>
      <c r="F250" s="15" t="s">
        <v>65</v>
      </c>
    </row>
    <row r="251" spans="1:6" x14ac:dyDescent="0.3">
      <c r="A251" s="28">
        <v>3</v>
      </c>
      <c r="B251" s="27">
        <v>2</v>
      </c>
      <c r="C251" s="27" t="s">
        <v>80</v>
      </c>
      <c r="D251" s="27" t="s">
        <v>40</v>
      </c>
      <c r="E251" s="27" t="s">
        <v>10</v>
      </c>
      <c r="F251" s="27" t="s">
        <v>65</v>
      </c>
    </row>
    <row r="252" spans="1:6" x14ac:dyDescent="0.3">
      <c r="A252" s="12">
        <v>3</v>
      </c>
      <c r="B252" s="10">
        <v>1</v>
      </c>
      <c r="C252" s="10" t="s">
        <v>81</v>
      </c>
      <c r="D252" s="10" t="s">
        <v>29</v>
      </c>
      <c r="E252" s="15" t="s">
        <v>42</v>
      </c>
      <c r="F252" s="15" t="s">
        <v>53</v>
      </c>
    </row>
    <row r="253" spans="1:6" x14ac:dyDescent="0.3">
      <c r="A253" s="28">
        <v>3</v>
      </c>
      <c r="B253" s="27">
        <v>2</v>
      </c>
      <c r="C253" s="27" t="s">
        <v>80</v>
      </c>
      <c r="D253" s="27" t="s">
        <v>0</v>
      </c>
      <c r="E253" s="27" t="s">
        <v>41</v>
      </c>
      <c r="F253" s="27" t="s">
        <v>61</v>
      </c>
    </row>
    <row r="254" spans="1:6" x14ac:dyDescent="0.3">
      <c r="A254" s="12">
        <v>3</v>
      </c>
      <c r="B254" s="15">
        <v>2</v>
      </c>
      <c r="C254" s="15" t="s">
        <v>80</v>
      </c>
      <c r="D254" s="15" t="s">
        <v>40</v>
      </c>
      <c r="E254" s="15" t="s">
        <v>9</v>
      </c>
      <c r="F254" s="15" t="s">
        <v>61</v>
      </c>
    </row>
    <row r="255" spans="1:6" x14ac:dyDescent="0.3">
      <c r="A255" s="28">
        <v>3</v>
      </c>
      <c r="B255" s="10">
        <v>1</v>
      </c>
      <c r="C255" s="10" t="s">
        <v>81</v>
      </c>
      <c r="D255" s="10" t="s">
        <v>29</v>
      </c>
      <c r="E255" s="27" t="s">
        <v>42</v>
      </c>
      <c r="F255" s="27" t="s">
        <v>57</v>
      </c>
    </row>
    <row r="256" spans="1:6" x14ac:dyDescent="0.3">
      <c r="A256" s="12">
        <v>3</v>
      </c>
      <c r="B256" s="10">
        <v>1</v>
      </c>
      <c r="C256" s="10" t="s">
        <v>81</v>
      </c>
      <c r="D256" s="10" t="s">
        <v>29</v>
      </c>
      <c r="E256" s="15" t="s">
        <v>42</v>
      </c>
      <c r="F256" s="15" t="s">
        <v>52</v>
      </c>
    </row>
    <row r="257" spans="1:6" x14ac:dyDescent="0.3">
      <c r="A257" s="28">
        <v>3</v>
      </c>
      <c r="B257" s="27">
        <v>2</v>
      </c>
      <c r="C257" s="27" t="s">
        <v>80</v>
      </c>
      <c r="D257" s="27" t="s">
        <v>0</v>
      </c>
      <c r="E257" s="27" t="s">
        <v>41</v>
      </c>
      <c r="F257" s="27" t="s">
        <v>60</v>
      </c>
    </row>
    <row r="258" spans="1:6" x14ac:dyDescent="0.3">
      <c r="A258" s="12">
        <v>3</v>
      </c>
      <c r="B258" s="15">
        <v>2</v>
      </c>
      <c r="C258" s="15" t="s">
        <v>80</v>
      </c>
      <c r="D258" s="15" t="s">
        <v>40</v>
      </c>
      <c r="E258" s="15" t="s">
        <v>9</v>
      </c>
      <c r="F258" s="15" t="s">
        <v>60</v>
      </c>
    </row>
    <row r="259" spans="1:6" x14ac:dyDescent="0.3">
      <c r="A259" s="28">
        <v>3</v>
      </c>
      <c r="B259" s="27">
        <v>2</v>
      </c>
      <c r="C259" s="27" t="s">
        <v>80</v>
      </c>
      <c r="D259" s="27" t="s">
        <v>0</v>
      </c>
      <c r="E259" s="27" t="s">
        <v>41</v>
      </c>
      <c r="F259" s="27" t="s">
        <v>66</v>
      </c>
    </row>
    <row r="260" spans="1:6" x14ac:dyDescent="0.3">
      <c r="A260" s="12">
        <v>3</v>
      </c>
      <c r="B260" s="15">
        <v>1</v>
      </c>
      <c r="C260" s="15" t="s">
        <v>81</v>
      </c>
      <c r="D260" s="15" t="s">
        <v>40</v>
      </c>
      <c r="E260" s="15" t="s">
        <v>10</v>
      </c>
      <c r="F260" s="15" t="s">
        <v>66</v>
      </c>
    </row>
    <row r="261" spans="1:6" x14ac:dyDescent="0.3">
      <c r="A261" s="28">
        <v>3</v>
      </c>
      <c r="B261" s="10">
        <v>2</v>
      </c>
      <c r="C261" s="10" t="s">
        <v>80</v>
      </c>
      <c r="D261" s="10" t="s">
        <v>29</v>
      </c>
      <c r="E261" s="27" t="s">
        <v>42</v>
      </c>
      <c r="F261" s="27" t="s">
        <v>56</v>
      </c>
    </row>
    <row r="262" spans="1:6" x14ac:dyDescent="0.3">
      <c r="A262" s="12">
        <v>3</v>
      </c>
      <c r="B262" s="10">
        <v>2</v>
      </c>
      <c r="C262" s="10" t="s">
        <v>80</v>
      </c>
      <c r="D262" s="10" t="s">
        <v>29</v>
      </c>
      <c r="E262" s="15" t="s">
        <v>42</v>
      </c>
      <c r="F262" s="15" t="s">
        <v>54</v>
      </c>
    </row>
    <row r="263" spans="1:6" x14ac:dyDescent="0.3">
      <c r="A263" s="28">
        <v>3</v>
      </c>
      <c r="B263" s="27">
        <v>1</v>
      </c>
      <c r="C263" s="27" t="s">
        <v>81</v>
      </c>
      <c r="D263" s="27" t="s">
        <v>0</v>
      </c>
      <c r="E263" s="27" t="s">
        <v>41</v>
      </c>
      <c r="F263" s="27" t="s">
        <v>64</v>
      </c>
    </row>
    <row r="264" spans="1:6" x14ac:dyDescent="0.3">
      <c r="A264" s="12">
        <v>3</v>
      </c>
      <c r="B264" s="15">
        <v>1</v>
      </c>
      <c r="C264" s="15" t="s">
        <v>81</v>
      </c>
      <c r="D264" s="15" t="s">
        <v>40</v>
      </c>
      <c r="E264" s="15" t="s">
        <v>9</v>
      </c>
      <c r="F264" s="15" t="s">
        <v>64</v>
      </c>
    </row>
    <row r="265" spans="1:6" x14ac:dyDescent="0.3">
      <c r="A265" s="28">
        <v>3</v>
      </c>
      <c r="B265" s="10">
        <v>2</v>
      </c>
      <c r="C265" s="10" t="s">
        <v>80</v>
      </c>
      <c r="D265" s="10" t="s">
        <v>29</v>
      </c>
      <c r="E265" s="27" t="s">
        <v>42</v>
      </c>
      <c r="F265" s="27" t="s">
        <v>58</v>
      </c>
    </row>
    <row r="266" spans="1:6" x14ac:dyDescent="0.3">
      <c r="A266" s="12">
        <v>3</v>
      </c>
      <c r="B266" s="15">
        <v>1</v>
      </c>
      <c r="C266" s="15" t="s">
        <v>81</v>
      </c>
      <c r="D266" s="15" t="s">
        <v>0</v>
      </c>
      <c r="E266" s="15" t="s">
        <v>41</v>
      </c>
      <c r="F266" s="15" t="s">
        <v>62</v>
      </c>
    </row>
    <row r="267" spans="1:6" x14ac:dyDescent="0.3">
      <c r="A267" s="28">
        <v>3</v>
      </c>
      <c r="B267" s="27">
        <v>1</v>
      </c>
      <c r="C267" s="27" t="s">
        <v>81</v>
      </c>
      <c r="D267" s="27" t="s">
        <v>40</v>
      </c>
      <c r="E267" s="27" t="s">
        <v>9</v>
      </c>
      <c r="F267" s="27" t="s">
        <v>62</v>
      </c>
    </row>
    <row r="268" spans="1:6" x14ac:dyDescent="0.3">
      <c r="A268" s="4">
        <v>4</v>
      </c>
      <c r="B268" s="11">
        <v>2</v>
      </c>
      <c r="C268" s="11" t="s">
        <v>80</v>
      </c>
      <c r="D268" s="11" t="s">
        <v>29</v>
      </c>
      <c r="E268" s="4" t="s">
        <v>42</v>
      </c>
      <c r="F268" s="4" t="s">
        <v>63</v>
      </c>
    </row>
    <row r="269" spans="1:6" x14ac:dyDescent="0.3">
      <c r="A269" s="15">
        <v>4</v>
      </c>
      <c r="B269" s="11">
        <v>2</v>
      </c>
      <c r="C269" s="11" t="s">
        <v>80</v>
      </c>
      <c r="D269" s="11" t="s">
        <v>29</v>
      </c>
      <c r="E269" s="15" t="s">
        <v>42</v>
      </c>
      <c r="F269" s="15" t="s">
        <v>59</v>
      </c>
    </row>
    <row r="270" spans="1:6" x14ac:dyDescent="0.3">
      <c r="A270" s="4">
        <v>4</v>
      </c>
      <c r="B270" s="4">
        <v>1</v>
      </c>
      <c r="C270" s="4" t="s">
        <v>81</v>
      </c>
      <c r="D270" s="4" t="s">
        <v>0</v>
      </c>
      <c r="E270" s="4" t="s">
        <v>41</v>
      </c>
      <c r="F270" s="4" t="s">
        <v>69</v>
      </c>
    </row>
    <row r="271" spans="1:6" x14ac:dyDescent="0.3">
      <c r="A271" s="15">
        <v>4</v>
      </c>
      <c r="B271" s="15">
        <v>1</v>
      </c>
      <c r="C271" s="15" t="s">
        <v>81</v>
      </c>
      <c r="D271" s="15" t="s">
        <v>40</v>
      </c>
      <c r="E271" s="15" t="s">
        <v>9</v>
      </c>
      <c r="F271" s="15" t="s">
        <v>69</v>
      </c>
    </row>
    <row r="272" spans="1:6" x14ac:dyDescent="0.3">
      <c r="A272" s="4">
        <v>4</v>
      </c>
      <c r="B272" s="4">
        <v>1</v>
      </c>
      <c r="C272" s="4" t="s">
        <v>81</v>
      </c>
      <c r="D272" s="4" t="s">
        <v>0</v>
      </c>
      <c r="E272" s="4" t="s">
        <v>41</v>
      </c>
      <c r="F272" s="4" t="s">
        <v>72</v>
      </c>
    </row>
    <row r="273" spans="1:6" x14ac:dyDescent="0.3">
      <c r="A273" s="15">
        <v>4</v>
      </c>
      <c r="B273" s="15">
        <v>2</v>
      </c>
      <c r="C273" s="15" t="s">
        <v>80</v>
      </c>
      <c r="D273" s="15" t="s">
        <v>40</v>
      </c>
      <c r="E273" s="15" t="s">
        <v>10</v>
      </c>
      <c r="F273" s="15" t="s">
        <v>72</v>
      </c>
    </row>
    <row r="274" spans="1:6" x14ac:dyDescent="0.3">
      <c r="A274" s="4">
        <v>4</v>
      </c>
      <c r="B274" s="11">
        <v>1</v>
      </c>
      <c r="C274" s="11" t="s">
        <v>81</v>
      </c>
      <c r="D274" s="11" t="s">
        <v>29</v>
      </c>
      <c r="E274" s="4" t="s">
        <v>42</v>
      </c>
      <c r="F274" s="4" t="s">
        <v>65</v>
      </c>
    </row>
    <row r="275" spans="1:6" x14ac:dyDescent="0.3">
      <c r="A275" s="15">
        <v>4</v>
      </c>
      <c r="B275" s="15">
        <v>2</v>
      </c>
      <c r="C275" s="15" t="s">
        <v>80</v>
      </c>
      <c r="D275" s="15" t="s">
        <v>0</v>
      </c>
      <c r="E275" s="15" t="s">
        <v>41</v>
      </c>
      <c r="F275" s="15" t="s">
        <v>70</v>
      </c>
    </row>
    <row r="276" spans="1:6" x14ac:dyDescent="0.3">
      <c r="A276" s="4">
        <v>4</v>
      </c>
      <c r="B276" s="4">
        <v>2</v>
      </c>
      <c r="C276" s="4" t="s">
        <v>80</v>
      </c>
      <c r="D276" s="4" t="s">
        <v>40</v>
      </c>
      <c r="E276" s="4" t="s">
        <v>9</v>
      </c>
      <c r="F276" s="4" t="s">
        <v>70</v>
      </c>
    </row>
    <row r="277" spans="1:6" x14ac:dyDescent="0.3">
      <c r="A277" s="15">
        <v>4</v>
      </c>
      <c r="B277" s="15">
        <v>2</v>
      </c>
      <c r="C277" s="15" t="s">
        <v>80</v>
      </c>
      <c r="D277" s="15" t="s">
        <v>0</v>
      </c>
      <c r="E277" s="15" t="s">
        <v>41</v>
      </c>
      <c r="F277" s="15" t="s">
        <v>74</v>
      </c>
    </row>
    <row r="278" spans="1:6" x14ac:dyDescent="0.3">
      <c r="A278" s="4">
        <v>4</v>
      </c>
      <c r="B278" s="4">
        <v>1</v>
      </c>
      <c r="C278" s="4" t="s">
        <v>81</v>
      </c>
      <c r="D278" s="4" t="s">
        <v>40</v>
      </c>
      <c r="E278" s="4" t="s">
        <v>10</v>
      </c>
      <c r="F278" s="4" t="s">
        <v>74</v>
      </c>
    </row>
    <row r="279" spans="1:6" x14ac:dyDescent="0.3">
      <c r="A279" s="15">
        <v>4</v>
      </c>
      <c r="B279" s="11">
        <v>2</v>
      </c>
      <c r="C279" s="11" t="s">
        <v>80</v>
      </c>
      <c r="D279" s="11" t="s">
        <v>29</v>
      </c>
      <c r="E279" s="15" t="s">
        <v>42</v>
      </c>
      <c r="F279" s="15" t="s">
        <v>61</v>
      </c>
    </row>
    <row r="280" spans="1:6" x14ac:dyDescent="0.3">
      <c r="A280" s="4">
        <v>4</v>
      </c>
      <c r="B280" s="4">
        <v>1</v>
      </c>
      <c r="C280" s="4" t="s">
        <v>81</v>
      </c>
      <c r="D280" s="4" t="s">
        <v>0</v>
      </c>
      <c r="E280" s="4" t="s">
        <v>41</v>
      </c>
      <c r="F280" s="4" t="s">
        <v>71</v>
      </c>
    </row>
    <row r="281" spans="1:6" x14ac:dyDescent="0.3">
      <c r="A281" s="15">
        <v>4</v>
      </c>
      <c r="B281" s="15">
        <v>2</v>
      </c>
      <c r="C281" s="15" t="s">
        <v>80</v>
      </c>
      <c r="D281" s="15" t="s">
        <v>40</v>
      </c>
      <c r="E281" s="15" t="s">
        <v>10</v>
      </c>
      <c r="F281" s="15" t="s">
        <v>71</v>
      </c>
    </row>
    <row r="282" spans="1:6" x14ac:dyDescent="0.3">
      <c r="A282" s="4">
        <v>4</v>
      </c>
      <c r="B282" s="4">
        <v>2</v>
      </c>
      <c r="C282" s="4" t="s">
        <v>80</v>
      </c>
      <c r="D282" s="4" t="s">
        <v>0</v>
      </c>
      <c r="E282" s="4" t="s">
        <v>41</v>
      </c>
      <c r="F282" s="4" t="s">
        <v>68</v>
      </c>
    </row>
    <row r="283" spans="1:6" x14ac:dyDescent="0.3">
      <c r="A283" s="15">
        <v>4</v>
      </c>
      <c r="B283" s="15">
        <v>2</v>
      </c>
      <c r="C283" s="15" t="s">
        <v>80</v>
      </c>
      <c r="D283" s="15" t="s">
        <v>40</v>
      </c>
      <c r="E283" s="15" t="s">
        <v>9</v>
      </c>
      <c r="F283" s="15" t="s">
        <v>68</v>
      </c>
    </row>
    <row r="284" spans="1:6" x14ac:dyDescent="0.3">
      <c r="A284" s="15">
        <v>4</v>
      </c>
      <c r="B284" s="11">
        <v>1</v>
      </c>
      <c r="C284" s="11" t="s">
        <v>81</v>
      </c>
      <c r="D284" s="11" t="s">
        <v>29</v>
      </c>
      <c r="E284" s="15" t="s">
        <v>42</v>
      </c>
      <c r="F284" s="15" t="s">
        <v>60</v>
      </c>
    </row>
    <row r="285" spans="1:6" x14ac:dyDescent="0.3">
      <c r="A285" s="4">
        <v>4</v>
      </c>
      <c r="B285" s="11">
        <v>1</v>
      </c>
      <c r="C285" s="11" t="s">
        <v>81</v>
      </c>
      <c r="D285" s="11" t="s">
        <v>29</v>
      </c>
      <c r="E285" s="4" t="s">
        <v>42</v>
      </c>
      <c r="F285" s="4" t="s">
        <v>66</v>
      </c>
    </row>
    <row r="286" spans="1:6" x14ac:dyDescent="0.3">
      <c r="A286" s="4">
        <v>4</v>
      </c>
      <c r="B286" s="4">
        <v>2</v>
      </c>
      <c r="C286" s="4" t="s">
        <v>80</v>
      </c>
      <c r="D286" s="4" t="s">
        <v>0</v>
      </c>
      <c r="E286" s="4" t="s">
        <v>41</v>
      </c>
      <c r="F286" s="4" t="s">
        <v>67</v>
      </c>
    </row>
    <row r="287" spans="1:6" x14ac:dyDescent="0.3">
      <c r="A287" s="15">
        <v>4</v>
      </c>
      <c r="B287" s="15">
        <v>1</v>
      </c>
      <c r="C287" s="15" t="s">
        <v>81</v>
      </c>
      <c r="D287" s="15" t="s">
        <v>40</v>
      </c>
      <c r="E287" s="15" t="s">
        <v>10</v>
      </c>
      <c r="F287" s="15" t="s">
        <v>67</v>
      </c>
    </row>
    <row r="288" spans="1:6" x14ac:dyDescent="0.3">
      <c r="A288" s="4">
        <v>4</v>
      </c>
      <c r="B288" s="4">
        <v>1</v>
      </c>
      <c r="C288" s="4" t="s">
        <v>81</v>
      </c>
      <c r="D288" s="4" t="s">
        <v>0</v>
      </c>
      <c r="E288" s="4" t="s">
        <v>41</v>
      </c>
      <c r="F288" s="4" t="s">
        <v>73</v>
      </c>
    </row>
    <row r="289" spans="1:14" x14ac:dyDescent="0.3">
      <c r="A289" s="15">
        <v>4</v>
      </c>
      <c r="B289" s="15">
        <v>1</v>
      </c>
      <c r="C289" s="15" t="s">
        <v>81</v>
      </c>
      <c r="D289" s="15" t="s">
        <v>40</v>
      </c>
      <c r="E289" s="15" t="s">
        <v>9</v>
      </c>
      <c r="F289" s="15" t="s">
        <v>73</v>
      </c>
    </row>
    <row r="290" spans="1:14" x14ac:dyDescent="0.3">
      <c r="A290" s="4">
        <v>4</v>
      </c>
      <c r="B290" s="11">
        <v>2</v>
      </c>
      <c r="C290" s="11" t="s">
        <v>80</v>
      </c>
      <c r="D290" s="11" t="s">
        <v>29</v>
      </c>
      <c r="E290" s="4" t="s">
        <v>42</v>
      </c>
      <c r="F290" s="4" t="s">
        <v>64</v>
      </c>
    </row>
    <row r="291" spans="1:14" x14ac:dyDescent="0.3">
      <c r="A291" s="30">
        <v>4</v>
      </c>
      <c r="B291" s="31">
        <v>1</v>
      </c>
      <c r="C291" s="31" t="s">
        <v>81</v>
      </c>
      <c r="D291" s="31" t="s">
        <v>29</v>
      </c>
      <c r="E291" s="30" t="s">
        <v>42</v>
      </c>
      <c r="F291" s="30" t="s">
        <v>62</v>
      </c>
      <c r="N291" t="s">
        <v>19</v>
      </c>
    </row>
    <row r="292" spans="1:14" x14ac:dyDescent="0.3">
      <c r="A292" s="29" t="s">
        <v>25</v>
      </c>
      <c r="B292" s="29"/>
      <c r="C292" s="29"/>
      <c r="D292" s="29"/>
      <c r="E292" s="29"/>
      <c r="F292" s="29"/>
    </row>
    <row r="293" spans="1:14" x14ac:dyDescent="0.3">
      <c r="A293" s="12">
        <v>1</v>
      </c>
      <c r="B293" s="15">
        <v>2</v>
      </c>
      <c r="C293" s="15" t="s">
        <v>80</v>
      </c>
      <c r="D293" s="15" t="s">
        <v>0</v>
      </c>
      <c r="E293" s="15" t="s">
        <v>41</v>
      </c>
      <c r="F293" s="15" t="s">
        <v>46</v>
      </c>
    </row>
    <row r="294" spans="1:14" x14ac:dyDescent="0.3">
      <c r="A294" s="28">
        <v>1</v>
      </c>
      <c r="B294" s="27">
        <v>2</v>
      </c>
      <c r="C294" s="15" t="s">
        <v>80</v>
      </c>
      <c r="D294" s="27" t="s">
        <v>40</v>
      </c>
      <c r="E294" s="27" t="s">
        <v>9</v>
      </c>
      <c r="F294" s="27" t="s">
        <v>46</v>
      </c>
    </row>
    <row r="295" spans="1:14" x14ac:dyDescent="0.3">
      <c r="A295" s="12">
        <v>1</v>
      </c>
      <c r="B295" s="14">
        <v>1</v>
      </c>
      <c r="C295" s="13" t="s">
        <v>81</v>
      </c>
      <c r="D295" s="8" t="s">
        <v>29</v>
      </c>
      <c r="E295" s="15" t="s">
        <v>42</v>
      </c>
      <c r="F295" s="15" t="s">
        <v>72</v>
      </c>
    </row>
    <row r="296" spans="1:14" x14ac:dyDescent="0.3">
      <c r="A296" s="28">
        <v>1</v>
      </c>
      <c r="B296" s="14">
        <v>1</v>
      </c>
      <c r="C296" s="14" t="s">
        <v>81</v>
      </c>
      <c r="D296" s="8" t="s">
        <v>29</v>
      </c>
      <c r="E296" s="27" t="s">
        <v>42</v>
      </c>
      <c r="F296" s="27" t="s">
        <v>67</v>
      </c>
    </row>
    <row r="297" spans="1:14" x14ac:dyDescent="0.3">
      <c r="A297" s="12">
        <v>1</v>
      </c>
      <c r="B297" s="15">
        <v>2</v>
      </c>
      <c r="C297" s="15" t="s">
        <v>80</v>
      </c>
      <c r="D297" s="15" t="s">
        <v>0</v>
      </c>
      <c r="E297" s="15" t="s">
        <v>41</v>
      </c>
      <c r="F297" s="15" t="s">
        <v>45</v>
      </c>
    </row>
    <row r="298" spans="1:14" x14ac:dyDescent="0.3">
      <c r="A298" s="28">
        <v>1</v>
      </c>
      <c r="B298" s="27">
        <v>2</v>
      </c>
      <c r="C298" s="15" t="s">
        <v>80</v>
      </c>
      <c r="D298" s="27" t="s">
        <v>40</v>
      </c>
      <c r="E298" s="27" t="s">
        <v>9</v>
      </c>
      <c r="F298" s="27" t="s">
        <v>45</v>
      </c>
    </row>
    <row r="299" spans="1:14" x14ac:dyDescent="0.3">
      <c r="A299" s="12">
        <v>1</v>
      </c>
      <c r="B299" s="15">
        <v>2</v>
      </c>
      <c r="C299" s="15" t="s">
        <v>80</v>
      </c>
      <c r="D299" s="15" t="s">
        <v>0</v>
      </c>
      <c r="E299" s="15" t="s">
        <v>41</v>
      </c>
      <c r="F299" s="15" t="s">
        <v>48</v>
      </c>
    </row>
    <row r="300" spans="1:14" x14ac:dyDescent="0.3">
      <c r="A300" s="28">
        <v>1</v>
      </c>
      <c r="B300" s="27">
        <v>1</v>
      </c>
      <c r="C300" s="27" t="s">
        <v>81</v>
      </c>
      <c r="D300" s="27" t="s">
        <v>40</v>
      </c>
      <c r="E300" s="27" t="s">
        <v>10</v>
      </c>
      <c r="F300" s="27" t="s">
        <v>48</v>
      </c>
    </row>
    <row r="301" spans="1:14" x14ac:dyDescent="0.3">
      <c r="A301" s="12">
        <v>1</v>
      </c>
      <c r="B301" s="14">
        <v>2</v>
      </c>
      <c r="C301" s="13" t="s">
        <v>80</v>
      </c>
      <c r="D301" s="8" t="s">
        <v>29</v>
      </c>
      <c r="E301" s="15" t="s">
        <v>42</v>
      </c>
      <c r="F301" s="15" t="s">
        <v>71</v>
      </c>
    </row>
    <row r="302" spans="1:14" x14ac:dyDescent="0.3">
      <c r="A302" s="28">
        <v>1</v>
      </c>
      <c r="B302" s="27">
        <v>1</v>
      </c>
      <c r="C302" s="27" t="s">
        <v>81</v>
      </c>
      <c r="D302" s="27" t="s">
        <v>0</v>
      </c>
      <c r="E302" s="27" t="s">
        <v>41</v>
      </c>
      <c r="F302" s="27" t="s">
        <v>44</v>
      </c>
    </row>
    <row r="303" spans="1:14" x14ac:dyDescent="0.3">
      <c r="A303" s="12">
        <v>1</v>
      </c>
      <c r="B303" s="15">
        <v>2</v>
      </c>
      <c r="C303" s="15" t="s">
        <v>80</v>
      </c>
      <c r="D303" s="15" t="s">
        <v>40</v>
      </c>
      <c r="E303" s="15" t="s">
        <v>10</v>
      </c>
      <c r="F303" s="15" t="s">
        <v>44</v>
      </c>
    </row>
    <row r="304" spans="1:14" x14ac:dyDescent="0.3">
      <c r="A304" s="28">
        <v>1</v>
      </c>
      <c r="B304" s="27">
        <v>2</v>
      </c>
      <c r="C304" s="27" t="s">
        <v>80</v>
      </c>
      <c r="D304" s="27" t="s">
        <v>0</v>
      </c>
      <c r="E304" s="27" t="s">
        <v>41</v>
      </c>
      <c r="F304" s="27" t="s">
        <v>43</v>
      </c>
    </row>
    <row r="305" spans="1:6" x14ac:dyDescent="0.3">
      <c r="A305" s="12">
        <v>1</v>
      </c>
      <c r="B305" s="15">
        <v>1</v>
      </c>
      <c r="C305" s="15" t="s">
        <v>81</v>
      </c>
      <c r="D305" s="15" t="s">
        <v>40</v>
      </c>
      <c r="E305" s="15" t="s">
        <v>10</v>
      </c>
      <c r="F305" s="15" t="s">
        <v>43</v>
      </c>
    </row>
    <row r="306" spans="1:6" x14ac:dyDescent="0.3">
      <c r="A306" s="28">
        <v>1</v>
      </c>
      <c r="B306" s="14">
        <v>2</v>
      </c>
      <c r="C306" s="14" t="s">
        <v>80</v>
      </c>
      <c r="D306" s="8" t="s">
        <v>29</v>
      </c>
      <c r="E306" s="27" t="s">
        <v>42</v>
      </c>
      <c r="F306" s="27" t="s">
        <v>73</v>
      </c>
    </row>
    <row r="307" spans="1:6" x14ac:dyDescent="0.3">
      <c r="A307" s="12">
        <v>1</v>
      </c>
      <c r="B307" s="15">
        <v>1</v>
      </c>
      <c r="C307" s="15" t="s">
        <v>81</v>
      </c>
      <c r="D307" s="15" t="s">
        <v>0</v>
      </c>
      <c r="E307" s="15" t="s">
        <v>41</v>
      </c>
      <c r="F307" s="15" t="s">
        <v>50</v>
      </c>
    </row>
    <row r="308" spans="1:6" x14ac:dyDescent="0.3">
      <c r="A308" s="28">
        <v>1</v>
      </c>
      <c r="B308" s="27">
        <v>1</v>
      </c>
      <c r="C308" s="15" t="s">
        <v>81</v>
      </c>
      <c r="D308" s="27" t="s">
        <v>40</v>
      </c>
      <c r="E308" s="27" t="s">
        <v>9</v>
      </c>
      <c r="F308" s="27" t="s">
        <v>50</v>
      </c>
    </row>
    <row r="309" spans="1:6" x14ac:dyDescent="0.3">
      <c r="A309" s="12">
        <v>1</v>
      </c>
      <c r="B309" s="14">
        <v>2</v>
      </c>
      <c r="C309" s="13" t="s">
        <v>80</v>
      </c>
      <c r="D309" s="8" t="s">
        <v>29</v>
      </c>
      <c r="E309" s="15" t="s">
        <v>42</v>
      </c>
      <c r="F309" s="15" t="s">
        <v>68</v>
      </c>
    </row>
    <row r="310" spans="1:6" x14ac:dyDescent="0.3">
      <c r="A310" s="28">
        <v>1</v>
      </c>
      <c r="B310" s="27">
        <v>1</v>
      </c>
      <c r="C310" s="27" t="s">
        <v>81</v>
      </c>
      <c r="D310" s="27" t="s">
        <v>0</v>
      </c>
      <c r="E310" s="27" t="s">
        <v>41</v>
      </c>
      <c r="F310" s="27" t="s">
        <v>47</v>
      </c>
    </row>
    <row r="311" spans="1:6" x14ac:dyDescent="0.3">
      <c r="A311" s="12">
        <v>1</v>
      </c>
      <c r="B311" s="15">
        <v>1</v>
      </c>
      <c r="C311" s="15" t="s">
        <v>81</v>
      </c>
      <c r="D311" s="15" t="s">
        <v>40</v>
      </c>
      <c r="E311" s="15" t="s">
        <v>9</v>
      </c>
      <c r="F311" s="15" t="s">
        <v>47</v>
      </c>
    </row>
    <row r="312" spans="1:6" x14ac:dyDescent="0.3">
      <c r="A312" s="28">
        <v>1</v>
      </c>
      <c r="B312" s="14">
        <v>1</v>
      </c>
      <c r="C312" s="14" t="s">
        <v>81</v>
      </c>
      <c r="D312" s="8" t="s">
        <v>29</v>
      </c>
      <c r="E312" s="27" t="s">
        <v>42</v>
      </c>
      <c r="F312" s="27" t="s">
        <v>74</v>
      </c>
    </row>
    <row r="313" spans="1:6" x14ac:dyDescent="0.3">
      <c r="A313" s="12">
        <v>1</v>
      </c>
      <c r="B313" s="14">
        <v>2</v>
      </c>
      <c r="C313" s="13" t="s">
        <v>80</v>
      </c>
      <c r="D313" s="8" t="s">
        <v>29</v>
      </c>
      <c r="E313" s="15" t="s">
        <v>42</v>
      </c>
      <c r="F313" s="15" t="s">
        <v>69</v>
      </c>
    </row>
    <row r="314" spans="1:6" x14ac:dyDescent="0.3">
      <c r="A314" s="28">
        <v>1</v>
      </c>
      <c r="B314" s="27">
        <v>1</v>
      </c>
      <c r="C314" s="27" t="s">
        <v>81</v>
      </c>
      <c r="D314" s="27" t="s">
        <v>0</v>
      </c>
      <c r="E314" s="27" t="s">
        <v>41</v>
      </c>
      <c r="F314" s="27" t="s">
        <v>49</v>
      </c>
    </row>
    <row r="315" spans="1:6" x14ac:dyDescent="0.3">
      <c r="A315" s="12">
        <v>1</v>
      </c>
      <c r="B315" s="15">
        <v>2</v>
      </c>
      <c r="C315" s="15" t="s">
        <v>80</v>
      </c>
      <c r="D315" s="15" t="s">
        <v>40</v>
      </c>
      <c r="E315" s="15" t="s">
        <v>10</v>
      </c>
      <c r="F315" s="15" t="s">
        <v>49</v>
      </c>
    </row>
    <row r="316" spans="1:6" x14ac:dyDescent="0.3">
      <c r="A316" s="28">
        <v>1</v>
      </c>
      <c r="B316" s="14">
        <v>1</v>
      </c>
      <c r="C316" s="14" t="s">
        <v>81</v>
      </c>
      <c r="D316" s="8" t="s">
        <v>29</v>
      </c>
      <c r="E316" s="27" t="s">
        <v>42</v>
      </c>
      <c r="F316" s="27" t="s">
        <v>70</v>
      </c>
    </row>
    <row r="317" spans="1:6" x14ac:dyDescent="0.3">
      <c r="A317" s="4">
        <v>2</v>
      </c>
      <c r="B317" s="4">
        <v>1</v>
      </c>
      <c r="C317" s="7" t="s">
        <v>81</v>
      </c>
      <c r="D317" s="4" t="s">
        <v>0</v>
      </c>
      <c r="E317" s="4" t="s">
        <v>41</v>
      </c>
      <c r="F317" s="4" t="s">
        <v>54</v>
      </c>
    </row>
    <row r="318" spans="1:6" x14ac:dyDescent="0.3">
      <c r="A318" s="15">
        <v>2</v>
      </c>
      <c r="B318" s="15">
        <v>1</v>
      </c>
      <c r="C318" s="12" t="s">
        <v>81</v>
      </c>
      <c r="D318" s="15" t="s">
        <v>40</v>
      </c>
      <c r="E318" s="15" t="s">
        <v>9</v>
      </c>
      <c r="F318" s="15" t="s">
        <v>54</v>
      </c>
    </row>
    <row r="319" spans="1:6" x14ac:dyDescent="0.3">
      <c r="A319" s="4">
        <v>2</v>
      </c>
      <c r="B319" s="9">
        <v>2</v>
      </c>
      <c r="C319" s="9" t="s">
        <v>80</v>
      </c>
      <c r="D319" s="9" t="s">
        <v>29</v>
      </c>
      <c r="E319" s="4" t="s">
        <v>42</v>
      </c>
      <c r="F319" s="4" t="s">
        <v>46</v>
      </c>
    </row>
    <row r="320" spans="1:6" x14ac:dyDescent="0.3">
      <c r="A320" s="15">
        <v>2</v>
      </c>
      <c r="B320" s="15">
        <v>1</v>
      </c>
      <c r="C320" s="15" t="s">
        <v>81</v>
      </c>
      <c r="D320" s="15" t="s">
        <v>0</v>
      </c>
      <c r="E320" s="15" t="s">
        <v>41</v>
      </c>
      <c r="F320" s="15" t="s">
        <v>56</v>
      </c>
    </row>
    <row r="321" spans="1:6" x14ac:dyDescent="0.3">
      <c r="A321" s="4">
        <v>2</v>
      </c>
      <c r="B321" s="4">
        <v>1</v>
      </c>
      <c r="C321" s="4" t="s">
        <v>81</v>
      </c>
      <c r="D321" s="4" t="s">
        <v>40</v>
      </c>
      <c r="E321" s="4" t="s">
        <v>9</v>
      </c>
      <c r="F321" s="4" t="s">
        <v>56</v>
      </c>
    </row>
    <row r="322" spans="1:6" x14ac:dyDescent="0.3">
      <c r="A322" s="15">
        <v>2</v>
      </c>
      <c r="B322" s="15">
        <v>1</v>
      </c>
      <c r="C322" s="15" t="s">
        <v>81</v>
      </c>
      <c r="D322" s="15" t="s">
        <v>0</v>
      </c>
      <c r="E322" s="15" t="s">
        <v>41</v>
      </c>
      <c r="F322" s="15" t="s">
        <v>58</v>
      </c>
    </row>
    <row r="323" spans="1:6" x14ac:dyDescent="0.3">
      <c r="A323" s="4">
        <v>2</v>
      </c>
      <c r="B323" s="4">
        <v>2</v>
      </c>
      <c r="C323" s="4" t="s">
        <v>80</v>
      </c>
      <c r="D323" s="4" t="s">
        <v>40</v>
      </c>
      <c r="E323" s="4" t="s">
        <v>10</v>
      </c>
      <c r="F323" s="4" t="s">
        <v>58</v>
      </c>
    </row>
    <row r="324" spans="1:6" x14ac:dyDescent="0.3">
      <c r="A324" s="15">
        <v>2</v>
      </c>
      <c r="B324" s="9">
        <v>2</v>
      </c>
      <c r="C324" s="9" t="s">
        <v>80</v>
      </c>
      <c r="D324" s="9" t="s">
        <v>29</v>
      </c>
      <c r="E324" s="15" t="s">
        <v>42</v>
      </c>
      <c r="F324" s="15" t="s">
        <v>45</v>
      </c>
    </row>
    <row r="325" spans="1:6" x14ac:dyDescent="0.3">
      <c r="A325" s="4">
        <v>2</v>
      </c>
      <c r="B325" s="4">
        <v>2</v>
      </c>
      <c r="C325" s="4" t="s">
        <v>80</v>
      </c>
      <c r="D325" s="4" t="s">
        <v>0</v>
      </c>
      <c r="E325" s="4" t="s">
        <v>41</v>
      </c>
      <c r="F325" s="4" t="s">
        <v>52</v>
      </c>
    </row>
    <row r="326" spans="1:6" x14ac:dyDescent="0.3">
      <c r="A326" s="15">
        <v>2</v>
      </c>
      <c r="B326" s="15">
        <v>1</v>
      </c>
      <c r="C326" s="15" t="s">
        <v>81</v>
      </c>
      <c r="D326" s="15" t="s">
        <v>40</v>
      </c>
      <c r="E326" s="15" t="s">
        <v>10</v>
      </c>
      <c r="F326" s="15" t="s">
        <v>52</v>
      </c>
    </row>
    <row r="327" spans="1:6" x14ac:dyDescent="0.3">
      <c r="A327" s="4">
        <v>2</v>
      </c>
      <c r="B327" s="4">
        <v>1</v>
      </c>
      <c r="C327" s="4" t="s">
        <v>81</v>
      </c>
      <c r="D327" s="4" t="s">
        <v>0</v>
      </c>
      <c r="E327" s="4" t="s">
        <v>41</v>
      </c>
      <c r="F327" s="4" t="s">
        <v>57</v>
      </c>
    </row>
    <row r="328" spans="1:6" x14ac:dyDescent="0.3">
      <c r="A328" s="15">
        <v>2</v>
      </c>
      <c r="B328" s="15">
        <v>2</v>
      </c>
      <c r="C328" s="15" t="s">
        <v>80</v>
      </c>
      <c r="D328" s="15" t="s">
        <v>40</v>
      </c>
      <c r="E328" s="15" t="s">
        <v>10</v>
      </c>
      <c r="F328" s="15" t="s">
        <v>57</v>
      </c>
    </row>
    <row r="329" spans="1:6" x14ac:dyDescent="0.3">
      <c r="A329" s="4">
        <v>2</v>
      </c>
      <c r="B329" s="9">
        <v>1</v>
      </c>
      <c r="C329" s="9" t="s">
        <v>81</v>
      </c>
      <c r="D329" s="9" t="s">
        <v>29</v>
      </c>
      <c r="E329" s="4" t="s">
        <v>42</v>
      </c>
      <c r="F329" s="4" t="s">
        <v>48</v>
      </c>
    </row>
    <row r="330" spans="1:6" x14ac:dyDescent="0.3">
      <c r="A330" s="15">
        <v>2</v>
      </c>
      <c r="B330" s="9">
        <v>1</v>
      </c>
      <c r="C330" s="9" t="s">
        <v>81</v>
      </c>
      <c r="D330" s="9" t="s">
        <v>29</v>
      </c>
      <c r="E330" s="15" t="s">
        <v>42</v>
      </c>
      <c r="F330" s="15" t="s">
        <v>44</v>
      </c>
    </row>
    <row r="331" spans="1:6" x14ac:dyDescent="0.3">
      <c r="A331" s="4">
        <v>2</v>
      </c>
      <c r="B331" s="4">
        <v>2</v>
      </c>
      <c r="C331" s="4" t="s">
        <v>80</v>
      </c>
      <c r="D331" s="4" t="s">
        <v>0</v>
      </c>
      <c r="E331" s="4" t="s">
        <v>41</v>
      </c>
      <c r="F331" s="4" t="s">
        <v>55</v>
      </c>
    </row>
    <row r="332" spans="1:6" x14ac:dyDescent="0.3">
      <c r="A332" s="15">
        <v>2</v>
      </c>
      <c r="B332" s="15">
        <v>2</v>
      </c>
      <c r="C332" s="15" t="s">
        <v>80</v>
      </c>
      <c r="D332" s="15" t="s">
        <v>40</v>
      </c>
      <c r="E332" s="15" t="s">
        <v>9</v>
      </c>
      <c r="F332" s="15" t="s">
        <v>55</v>
      </c>
    </row>
    <row r="333" spans="1:6" x14ac:dyDescent="0.3">
      <c r="A333" s="4">
        <v>2</v>
      </c>
      <c r="B333" s="9">
        <v>1</v>
      </c>
      <c r="C333" s="9" t="s">
        <v>81</v>
      </c>
      <c r="D333" s="9" t="s">
        <v>29</v>
      </c>
      <c r="E333" s="4" t="s">
        <v>42</v>
      </c>
      <c r="F333" s="4" t="s">
        <v>43</v>
      </c>
    </row>
    <row r="334" spans="1:6" x14ac:dyDescent="0.3">
      <c r="A334" s="15">
        <v>2</v>
      </c>
      <c r="B334" s="15">
        <v>2</v>
      </c>
      <c r="C334" s="15" t="s">
        <v>80</v>
      </c>
      <c r="D334" s="15" t="s">
        <v>0</v>
      </c>
      <c r="E334" s="15" t="s">
        <v>41</v>
      </c>
      <c r="F334" s="15" t="s">
        <v>51</v>
      </c>
    </row>
    <row r="335" spans="1:6" x14ac:dyDescent="0.3">
      <c r="A335" s="4">
        <v>2</v>
      </c>
      <c r="B335" s="4">
        <v>2</v>
      </c>
      <c r="C335" s="4" t="s">
        <v>80</v>
      </c>
      <c r="D335" s="4" t="s">
        <v>40</v>
      </c>
      <c r="E335" s="4" t="s">
        <v>9</v>
      </c>
      <c r="F335" s="4" t="s">
        <v>51</v>
      </c>
    </row>
    <row r="336" spans="1:6" x14ac:dyDescent="0.3">
      <c r="A336" s="15">
        <v>2</v>
      </c>
      <c r="B336" s="9">
        <v>2</v>
      </c>
      <c r="C336" s="9" t="s">
        <v>80</v>
      </c>
      <c r="D336" s="9" t="s">
        <v>29</v>
      </c>
      <c r="E336" s="15" t="s">
        <v>42</v>
      </c>
      <c r="F336" s="15" t="s">
        <v>50</v>
      </c>
    </row>
    <row r="337" spans="1:6" x14ac:dyDescent="0.3">
      <c r="A337" s="4">
        <v>2</v>
      </c>
      <c r="B337" s="9">
        <v>1</v>
      </c>
      <c r="C337" s="9" t="s">
        <v>81</v>
      </c>
      <c r="D337" s="9" t="s">
        <v>29</v>
      </c>
      <c r="E337" s="4" t="s">
        <v>42</v>
      </c>
      <c r="F337" s="4" t="s">
        <v>47</v>
      </c>
    </row>
    <row r="338" spans="1:6" x14ac:dyDescent="0.3">
      <c r="A338" s="15">
        <v>2</v>
      </c>
      <c r="B338" s="9">
        <v>2</v>
      </c>
      <c r="C338" s="9" t="s">
        <v>80</v>
      </c>
      <c r="D338" s="9" t="s">
        <v>29</v>
      </c>
      <c r="E338" s="15" t="s">
        <v>42</v>
      </c>
      <c r="F338" s="15" t="s">
        <v>49</v>
      </c>
    </row>
    <row r="339" spans="1:6" x14ac:dyDescent="0.3">
      <c r="A339" s="4">
        <v>2</v>
      </c>
      <c r="B339" s="4">
        <v>2</v>
      </c>
      <c r="C339" s="4" t="s">
        <v>80</v>
      </c>
      <c r="D339" s="4" t="s">
        <v>0</v>
      </c>
      <c r="E339" s="4" t="s">
        <v>41</v>
      </c>
      <c r="F339" s="4" t="s">
        <v>53</v>
      </c>
    </row>
    <row r="340" spans="1:6" x14ac:dyDescent="0.3">
      <c r="A340" s="15">
        <v>2</v>
      </c>
      <c r="B340" s="15">
        <v>1</v>
      </c>
      <c r="C340" s="15" t="s">
        <v>81</v>
      </c>
      <c r="D340" s="15" t="s">
        <v>40</v>
      </c>
      <c r="E340" s="15" t="s">
        <v>10</v>
      </c>
      <c r="F340" s="15" t="s">
        <v>53</v>
      </c>
    </row>
    <row r="341" spans="1:6" x14ac:dyDescent="0.3">
      <c r="A341" s="12">
        <v>3</v>
      </c>
      <c r="B341" s="10">
        <v>2</v>
      </c>
      <c r="C341" s="10" t="s">
        <v>80</v>
      </c>
      <c r="D341" s="10" t="s">
        <v>29</v>
      </c>
      <c r="E341" s="15" t="s">
        <v>42</v>
      </c>
      <c r="F341" s="15" t="s">
        <v>54</v>
      </c>
    </row>
    <row r="342" spans="1:6" x14ac:dyDescent="0.3">
      <c r="A342" s="28">
        <v>3</v>
      </c>
      <c r="B342" s="27">
        <v>1</v>
      </c>
      <c r="C342" s="27" t="s">
        <v>81</v>
      </c>
      <c r="D342" s="27" t="s">
        <v>0</v>
      </c>
      <c r="E342" s="27" t="s">
        <v>41</v>
      </c>
      <c r="F342" s="27" t="s">
        <v>64</v>
      </c>
    </row>
    <row r="343" spans="1:6" x14ac:dyDescent="0.3">
      <c r="A343" s="12">
        <v>3</v>
      </c>
      <c r="B343" s="15">
        <v>2</v>
      </c>
      <c r="C343" s="15" t="s">
        <v>80</v>
      </c>
      <c r="D343" s="15" t="s">
        <v>40</v>
      </c>
      <c r="E343" s="15" t="s">
        <v>10</v>
      </c>
      <c r="F343" s="15" t="s">
        <v>64</v>
      </c>
    </row>
    <row r="344" spans="1:6" x14ac:dyDescent="0.3">
      <c r="A344" s="28">
        <v>3</v>
      </c>
      <c r="B344" s="10">
        <v>2</v>
      </c>
      <c r="C344" s="10" t="s">
        <v>80</v>
      </c>
      <c r="D344" s="10" t="s">
        <v>29</v>
      </c>
      <c r="E344" s="27" t="s">
        <v>42</v>
      </c>
      <c r="F344" s="27" t="s">
        <v>56</v>
      </c>
    </row>
    <row r="345" spans="1:6" x14ac:dyDescent="0.3">
      <c r="A345" s="12">
        <v>3</v>
      </c>
      <c r="B345" s="15">
        <v>2</v>
      </c>
      <c r="C345" s="15" t="s">
        <v>80</v>
      </c>
      <c r="D345" s="15" t="s">
        <v>0</v>
      </c>
      <c r="E345" s="15" t="s">
        <v>41</v>
      </c>
      <c r="F345" s="15" t="s">
        <v>62</v>
      </c>
    </row>
    <row r="346" spans="1:6" x14ac:dyDescent="0.3">
      <c r="A346" s="28">
        <v>3</v>
      </c>
      <c r="B346" s="27">
        <v>1</v>
      </c>
      <c r="C346" s="27" t="s">
        <v>81</v>
      </c>
      <c r="D346" s="27" t="s">
        <v>40</v>
      </c>
      <c r="E346" s="27" t="s">
        <v>10</v>
      </c>
      <c r="F346" s="27" t="s">
        <v>62</v>
      </c>
    </row>
    <row r="347" spans="1:6" x14ac:dyDescent="0.3">
      <c r="A347" s="12">
        <v>3</v>
      </c>
      <c r="B347" s="15">
        <v>1</v>
      </c>
      <c r="C347" s="15" t="s">
        <v>81</v>
      </c>
      <c r="D347" s="15" t="s">
        <v>0</v>
      </c>
      <c r="E347" s="15" t="s">
        <v>41</v>
      </c>
      <c r="F347" s="15" t="s">
        <v>66</v>
      </c>
    </row>
    <row r="348" spans="1:6" x14ac:dyDescent="0.3">
      <c r="A348" s="28">
        <v>3</v>
      </c>
      <c r="B348" s="27">
        <v>2</v>
      </c>
      <c r="C348" s="27" t="s">
        <v>80</v>
      </c>
      <c r="D348" s="27" t="s">
        <v>40</v>
      </c>
      <c r="E348" s="27" t="s">
        <v>10</v>
      </c>
      <c r="F348" s="27" t="s">
        <v>66</v>
      </c>
    </row>
    <row r="349" spans="1:6" x14ac:dyDescent="0.3">
      <c r="A349" s="12">
        <v>3</v>
      </c>
      <c r="B349" s="10">
        <v>1</v>
      </c>
      <c r="C349" s="10" t="s">
        <v>81</v>
      </c>
      <c r="D349" s="10" t="s">
        <v>29</v>
      </c>
      <c r="E349" s="15" t="s">
        <v>42</v>
      </c>
      <c r="F349" s="15" t="s">
        <v>58</v>
      </c>
    </row>
    <row r="350" spans="1:6" x14ac:dyDescent="0.3">
      <c r="A350" s="28">
        <v>3</v>
      </c>
      <c r="B350" s="27">
        <v>2</v>
      </c>
      <c r="C350" s="27" t="s">
        <v>80</v>
      </c>
      <c r="D350" s="27" t="s">
        <v>0</v>
      </c>
      <c r="E350" s="27" t="s">
        <v>41</v>
      </c>
      <c r="F350" s="27" t="s">
        <v>65</v>
      </c>
    </row>
    <row r="351" spans="1:6" x14ac:dyDescent="0.3">
      <c r="A351" s="12">
        <v>3</v>
      </c>
      <c r="B351" s="15">
        <v>2</v>
      </c>
      <c r="C351" s="15" t="s">
        <v>80</v>
      </c>
      <c r="D351" s="15" t="s">
        <v>40</v>
      </c>
      <c r="E351" s="15" t="s">
        <v>9</v>
      </c>
      <c r="F351" s="15" t="s">
        <v>65</v>
      </c>
    </row>
    <row r="352" spans="1:6" x14ac:dyDescent="0.3">
      <c r="A352" s="28">
        <v>3</v>
      </c>
      <c r="B352" s="10">
        <v>1</v>
      </c>
      <c r="C352" s="10" t="s">
        <v>81</v>
      </c>
      <c r="D352" s="10" t="s">
        <v>29</v>
      </c>
      <c r="E352" s="27" t="s">
        <v>42</v>
      </c>
      <c r="F352" s="27" t="s">
        <v>52</v>
      </c>
    </row>
    <row r="353" spans="1:6" x14ac:dyDescent="0.3">
      <c r="A353" s="12">
        <v>3</v>
      </c>
      <c r="B353" s="10">
        <v>1</v>
      </c>
      <c r="C353" s="10" t="s">
        <v>81</v>
      </c>
      <c r="D353" s="10" t="s">
        <v>29</v>
      </c>
      <c r="E353" s="15" t="s">
        <v>42</v>
      </c>
      <c r="F353" s="15" t="s">
        <v>57</v>
      </c>
    </row>
    <row r="354" spans="1:6" x14ac:dyDescent="0.3">
      <c r="A354" s="28">
        <v>3</v>
      </c>
      <c r="B354" s="27">
        <v>2</v>
      </c>
      <c r="C354" s="27" t="s">
        <v>80</v>
      </c>
      <c r="D354" s="27" t="s">
        <v>0</v>
      </c>
      <c r="E354" s="27" t="s">
        <v>41</v>
      </c>
      <c r="F354" s="27" t="s">
        <v>59</v>
      </c>
    </row>
    <row r="355" spans="1:6" x14ac:dyDescent="0.3">
      <c r="A355" s="12">
        <v>3</v>
      </c>
      <c r="B355" s="15">
        <v>2</v>
      </c>
      <c r="C355" s="15" t="s">
        <v>80</v>
      </c>
      <c r="D355" s="15" t="s">
        <v>40</v>
      </c>
      <c r="E355" s="15" t="s">
        <v>9</v>
      </c>
      <c r="F355" s="15" t="s">
        <v>59</v>
      </c>
    </row>
    <row r="356" spans="1:6" x14ac:dyDescent="0.3">
      <c r="A356" s="28">
        <v>3</v>
      </c>
      <c r="B356" s="27">
        <v>2</v>
      </c>
      <c r="C356" s="27" t="s">
        <v>80</v>
      </c>
      <c r="D356" s="27" t="s">
        <v>0</v>
      </c>
      <c r="E356" s="27" t="s">
        <v>41</v>
      </c>
      <c r="F356" s="27" t="s">
        <v>61</v>
      </c>
    </row>
    <row r="357" spans="1:6" x14ac:dyDescent="0.3">
      <c r="A357" s="12">
        <v>3</v>
      </c>
      <c r="B357" s="15">
        <v>1</v>
      </c>
      <c r="C357" s="15" t="s">
        <v>81</v>
      </c>
      <c r="D357" s="15" t="s">
        <v>40</v>
      </c>
      <c r="E357" s="15" t="s">
        <v>10</v>
      </c>
      <c r="F357" s="15" t="s">
        <v>61</v>
      </c>
    </row>
    <row r="358" spans="1:6" x14ac:dyDescent="0.3">
      <c r="A358" s="28">
        <v>3</v>
      </c>
      <c r="B358" s="10">
        <v>2</v>
      </c>
      <c r="C358" s="10" t="s">
        <v>80</v>
      </c>
      <c r="D358" s="10" t="s">
        <v>29</v>
      </c>
      <c r="E358" s="27" t="s">
        <v>42</v>
      </c>
      <c r="F358" s="27" t="s">
        <v>55</v>
      </c>
    </row>
    <row r="359" spans="1:6" x14ac:dyDescent="0.3">
      <c r="A359" s="12">
        <v>3</v>
      </c>
      <c r="B359" s="15">
        <v>1</v>
      </c>
      <c r="C359" s="15" t="s">
        <v>81</v>
      </c>
      <c r="D359" s="15" t="s">
        <v>0</v>
      </c>
      <c r="E359" s="15" t="s">
        <v>41</v>
      </c>
      <c r="F359" s="15" t="s">
        <v>63</v>
      </c>
    </row>
    <row r="360" spans="1:6" x14ac:dyDescent="0.3">
      <c r="A360" s="28">
        <v>3</v>
      </c>
      <c r="B360" s="27">
        <v>1</v>
      </c>
      <c r="C360" s="27" t="s">
        <v>81</v>
      </c>
      <c r="D360" s="27" t="s">
        <v>40</v>
      </c>
      <c r="E360" s="27" t="s">
        <v>9</v>
      </c>
      <c r="F360" s="27" t="s">
        <v>63</v>
      </c>
    </row>
    <row r="361" spans="1:6" x14ac:dyDescent="0.3">
      <c r="A361" s="12">
        <v>3</v>
      </c>
      <c r="B361" s="10">
        <v>2</v>
      </c>
      <c r="C361" s="10" t="s">
        <v>80</v>
      </c>
      <c r="D361" s="10" t="s">
        <v>29</v>
      </c>
      <c r="E361" s="15" t="s">
        <v>42</v>
      </c>
      <c r="F361" s="15" t="s">
        <v>51</v>
      </c>
    </row>
    <row r="362" spans="1:6" x14ac:dyDescent="0.3">
      <c r="A362" s="28">
        <v>3</v>
      </c>
      <c r="B362" s="27">
        <v>1</v>
      </c>
      <c r="C362" s="27" t="s">
        <v>81</v>
      </c>
      <c r="D362" s="27" t="s">
        <v>0</v>
      </c>
      <c r="E362" s="27" t="s">
        <v>41</v>
      </c>
      <c r="F362" s="27" t="s">
        <v>60</v>
      </c>
    </row>
    <row r="363" spans="1:6" x14ac:dyDescent="0.3">
      <c r="A363" s="12">
        <v>3</v>
      </c>
      <c r="B363" s="15">
        <v>1</v>
      </c>
      <c r="C363" s="15" t="s">
        <v>81</v>
      </c>
      <c r="D363" s="15" t="s">
        <v>40</v>
      </c>
      <c r="E363" s="15" t="s">
        <v>9</v>
      </c>
      <c r="F363" s="15" t="s">
        <v>60</v>
      </c>
    </row>
    <row r="364" spans="1:6" x14ac:dyDescent="0.3">
      <c r="A364" s="28">
        <v>3</v>
      </c>
      <c r="B364" s="10">
        <v>1</v>
      </c>
      <c r="C364" s="10" t="s">
        <v>81</v>
      </c>
      <c r="D364" s="10" t="s">
        <v>29</v>
      </c>
      <c r="E364" s="27" t="s">
        <v>42</v>
      </c>
      <c r="F364" s="27" t="s">
        <v>53</v>
      </c>
    </row>
    <row r="365" spans="1:6" x14ac:dyDescent="0.3">
      <c r="A365" s="4">
        <v>4</v>
      </c>
      <c r="B365" s="11">
        <v>2</v>
      </c>
      <c r="C365" s="11" t="s">
        <v>80</v>
      </c>
      <c r="D365" s="11" t="s">
        <v>29</v>
      </c>
      <c r="E365" s="4" t="s">
        <v>42</v>
      </c>
      <c r="F365" s="4" t="s">
        <v>64</v>
      </c>
    </row>
    <row r="366" spans="1:6" x14ac:dyDescent="0.3">
      <c r="A366" s="15">
        <v>4</v>
      </c>
      <c r="B366" s="15">
        <v>1</v>
      </c>
      <c r="C366" s="15" t="s">
        <v>81</v>
      </c>
      <c r="D366" s="15" t="s">
        <v>0</v>
      </c>
      <c r="E366" s="15" t="s">
        <v>41</v>
      </c>
      <c r="F366" s="15" t="s">
        <v>72</v>
      </c>
    </row>
    <row r="367" spans="1:6" x14ac:dyDescent="0.3">
      <c r="A367" s="4">
        <v>4</v>
      </c>
      <c r="B367" s="4">
        <v>1</v>
      </c>
      <c r="C367" s="4" t="s">
        <v>81</v>
      </c>
      <c r="D367" s="4" t="s">
        <v>40</v>
      </c>
      <c r="E367" s="4" t="s">
        <v>9</v>
      </c>
      <c r="F367" s="4" t="s">
        <v>72</v>
      </c>
    </row>
    <row r="368" spans="1:6" x14ac:dyDescent="0.3">
      <c r="A368" s="15">
        <v>4</v>
      </c>
      <c r="B368" s="15">
        <v>1</v>
      </c>
      <c r="C368" s="15" t="s">
        <v>81</v>
      </c>
      <c r="D368" s="15" t="s">
        <v>0</v>
      </c>
      <c r="E368" s="15" t="s">
        <v>41</v>
      </c>
      <c r="F368" s="15" t="s">
        <v>67</v>
      </c>
    </row>
    <row r="369" spans="1:6" x14ac:dyDescent="0.3">
      <c r="A369" s="4">
        <v>4</v>
      </c>
      <c r="B369" s="4">
        <v>2</v>
      </c>
      <c r="C369" s="4" t="s">
        <v>80</v>
      </c>
      <c r="D369" s="4" t="s">
        <v>40</v>
      </c>
      <c r="E369" s="4" t="s">
        <v>10</v>
      </c>
      <c r="F369" s="4" t="s">
        <v>67</v>
      </c>
    </row>
    <row r="370" spans="1:6" x14ac:dyDescent="0.3">
      <c r="A370" s="15">
        <v>4</v>
      </c>
      <c r="B370" s="11">
        <v>1</v>
      </c>
      <c r="C370" s="11" t="s">
        <v>81</v>
      </c>
      <c r="D370" s="11" t="s">
        <v>29</v>
      </c>
      <c r="E370" s="15" t="s">
        <v>42</v>
      </c>
      <c r="F370" s="15" t="s">
        <v>62</v>
      </c>
    </row>
    <row r="371" spans="1:6" x14ac:dyDescent="0.3">
      <c r="A371" s="4">
        <v>4</v>
      </c>
      <c r="B371" s="4">
        <v>2</v>
      </c>
      <c r="C371" s="4" t="s">
        <v>80</v>
      </c>
      <c r="D371" s="4" t="s">
        <v>0</v>
      </c>
      <c r="E371" s="4" t="s">
        <v>41</v>
      </c>
      <c r="F371" s="4" t="s">
        <v>71</v>
      </c>
    </row>
    <row r="372" spans="1:6" x14ac:dyDescent="0.3">
      <c r="A372" s="15">
        <v>4</v>
      </c>
      <c r="B372" s="15">
        <v>2</v>
      </c>
      <c r="C372" s="15" t="s">
        <v>80</v>
      </c>
      <c r="D372" s="15" t="s">
        <v>40</v>
      </c>
      <c r="E372" s="15" t="s">
        <v>9</v>
      </c>
      <c r="F372" s="15" t="s">
        <v>71</v>
      </c>
    </row>
    <row r="373" spans="1:6" x14ac:dyDescent="0.3">
      <c r="A373" s="4">
        <v>4</v>
      </c>
      <c r="B373" s="4">
        <v>2</v>
      </c>
      <c r="C373" s="4" t="s">
        <v>80</v>
      </c>
      <c r="D373" s="4" t="s">
        <v>0</v>
      </c>
      <c r="E373" s="4" t="s">
        <v>41</v>
      </c>
      <c r="F373" s="4" t="s">
        <v>73</v>
      </c>
    </row>
    <row r="374" spans="1:6" x14ac:dyDescent="0.3">
      <c r="A374" s="15">
        <v>4</v>
      </c>
      <c r="B374" s="15">
        <v>1</v>
      </c>
      <c r="C374" s="15" t="s">
        <v>81</v>
      </c>
      <c r="D374" s="15" t="s">
        <v>40</v>
      </c>
      <c r="E374" s="15" t="s">
        <v>10</v>
      </c>
      <c r="F374" s="15" t="s">
        <v>73</v>
      </c>
    </row>
    <row r="375" spans="1:6" x14ac:dyDescent="0.3">
      <c r="A375" s="4">
        <v>4</v>
      </c>
      <c r="B375" s="11">
        <v>2</v>
      </c>
      <c r="C375" s="11" t="s">
        <v>80</v>
      </c>
      <c r="D375" s="11" t="s">
        <v>29</v>
      </c>
      <c r="E375" s="4" t="s">
        <v>42</v>
      </c>
      <c r="F375" s="4" t="s">
        <v>66</v>
      </c>
    </row>
    <row r="376" spans="1:6" x14ac:dyDescent="0.3">
      <c r="A376" s="15">
        <v>4</v>
      </c>
      <c r="B376" s="11">
        <v>1</v>
      </c>
      <c r="C376" s="11" t="s">
        <v>81</v>
      </c>
      <c r="D376" s="11" t="s">
        <v>29</v>
      </c>
      <c r="E376" s="15" t="s">
        <v>42</v>
      </c>
      <c r="F376" s="15" t="s">
        <v>65</v>
      </c>
    </row>
    <row r="377" spans="1:6" x14ac:dyDescent="0.3">
      <c r="A377" s="4">
        <v>4</v>
      </c>
      <c r="B377" s="11">
        <v>2</v>
      </c>
      <c r="C377" s="11" t="s">
        <v>80</v>
      </c>
      <c r="D377" s="11" t="s">
        <v>29</v>
      </c>
      <c r="E377" s="4" t="s">
        <v>42</v>
      </c>
      <c r="F377" s="4" t="s">
        <v>59</v>
      </c>
    </row>
    <row r="378" spans="1:6" x14ac:dyDescent="0.3">
      <c r="A378" s="15">
        <v>4</v>
      </c>
      <c r="B378" s="15">
        <v>1</v>
      </c>
      <c r="C378" s="15" t="s">
        <v>81</v>
      </c>
      <c r="D378" s="15" t="s">
        <v>0</v>
      </c>
      <c r="E378" s="15" t="s">
        <v>41</v>
      </c>
      <c r="F378" s="15" t="s">
        <v>68</v>
      </c>
    </row>
    <row r="379" spans="1:6" x14ac:dyDescent="0.3">
      <c r="A379" s="4">
        <v>4</v>
      </c>
      <c r="B379" s="4">
        <v>2</v>
      </c>
      <c r="C379" s="4" t="s">
        <v>80</v>
      </c>
      <c r="D379" s="4" t="s">
        <v>40</v>
      </c>
      <c r="E379" s="4" t="s">
        <v>10</v>
      </c>
      <c r="F379" s="4" t="s">
        <v>68</v>
      </c>
    </row>
    <row r="380" spans="1:6" x14ac:dyDescent="0.3">
      <c r="A380" s="15">
        <v>4</v>
      </c>
      <c r="B380" s="15">
        <v>2</v>
      </c>
      <c r="C380" s="15" t="s">
        <v>80</v>
      </c>
      <c r="D380" s="15" t="s">
        <v>0</v>
      </c>
      <c r="E380" s="15" t="s">
        <v>41</v>
      </c>
      <c r="F380" s="15" t="s">
        <v>74</v>
      </c>
    </row>
    <row r="381" spans="1:6" x14ac:dyDescent="0.3">
      <c r="A381" s="4">
        <v>4</v>
      </c>
      <c r="B381" s="4">
        <v>2</v>
      </c>
      <c r="C381" s="4" t="s">
        <v>80</v>
      </c>
      <c r="D381" s="4" t="s">
        <v>40</v>
      </c>
      <c r="E381" s="4" t="s">
        <v>9</v>
      </c>
      <c r="F381" s="4" t="s">
        <v>74</v>
      </c>
    </row>
    <row r="382" spans="1:6" x14ac:dyDescent="0.3">
      <c r="A382" s="15">
        <v>4</v>
      </c>
      <c r="B382" s="11">
        <v>1</v>
      </c>
      <c r="C382" s="11" t="s">
        <v>81</v>
      </c>
      <c r="D382" s="11" t="s">
        <v>29</v>
      </c>
      <c r="E382" s="15" t="s">
        <v>42</v>
      </c>
      <c r="F382" s="15" t="s">
        <v>61</v>
      </c>
    </row>
    <row r="383" spans="1:6" x14ac:dyDescent="0.3">
      <c r="A383" s="4">
        <v>4</v>
      </c>
      <c r="B383" s="4">
        <v>2</v>
      </c>
      <c r="C383" s="4" t="s">
        <v>80</v>
      </c>
      <c r="D383" s="4" t="s">
        <v>0</v>
      </c>
      <c r="E383" s="4" t="s">
        <v>41</v>
      </c>
      <c r="F383" s="4" t="s">
        <v>69</v>
      </c>
    </row>
    <row r="384" spans="1:6" x14ac:dyDescent="0.3">
      <c r="A384" s="15">
        <v>4</v>
      </c>
      <c r="B384" s="15">
        <v>1</v>
      </c>
      <c r="C384" s="15" t="s">
        <v>81</v>
      </c>
      <c r="D384" s="15" t="s">
        <v>40</v>
      </c>
      <c r="E384" s="15" t="s">
        <v>10</v>
      </c>
      <c r="F384" s="15" t="s">
        <v>69</v>
      </c>
    </row>
    <row r="385" spans="1:6" x14ac:dyDescent="0.3">
      <c r="A385" s="4">
        <v>4</v>
      </c>
      <c r="B385" s="4">
        <v>1</v>
      </c>
      <c r="C385" s="4" t="s">
        <v>81</v>
      </c>
      <c r="D385" s="4" t="s">
        <v>0</v>
      </c>
      <c r="E385" s="4" t="s">
        <v>41</v>
      </c>
      <c r="F385" s="4" t="s">
        <v>70</v>
      </c>
    </row>
    <row r="386" spans="1:6" x14ac:dyDescent="0.3">
      <c r="A386" s="15">
        <v>4</v>
      </c>
      <c r="B386" s="15">
        <v>1</v>
      </c>
      <c r="C386" s="15" t="s">
        <v>81</v>
      </c>
      <c r="D386" s="15" t="s">
        <v>40</v>
      </c>
      <c r="E386" s="15" t="s">
        <v>9</v>
      </c>
      <c r="F386" s="15" t="s">
        <v>70</v>
      </c>
    </row>
    <row r="387" spans="1:6" x14ac:dyDescent="0.3">
      <c r="A387" s="4">
        <v>4</v>
      </c>
      <c r="B387" s="11">
        <v>2</v>
      </c>
      <c r="C387" s="11" t="s">
        <v>80</v>
      </c>
      <c r="D387" s="11" t="s">
        <v>29</v>
      </c>
      <c r="E387" s="4" t="s">
        <v>42</v>
      </c>
      <c r="F387" s="4" t="s">
        <v>63</v>
      </c>
    </row>
    <row r="388" spans="1:6" x14ac:dyDescent="0.3">
      <c r="A388" s="15">
        <v>4</v>
      </c>
      <c r="B388" s="11">
        <v>1</v>
      </c>
      <c r="C388" s="11" t="s">
        <v>81</v>
      </c>
      <c r="D388" s="11" t="s">
        <v>29</v>
      </c>
      <c r="E388" s="15" t="s">
        <v>42</v>
      </c>
      <c r="F388" s="15" t="s">
        <v>60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88"/>
  <sheetViews>
    <sheetView topLeftCell="A173" zoomScale="90" zoomScaleNormal="90" workbookViewId="0">
      <selection activeCell="M184" sqref="M184"/>
    </sheetView>
  </sheetViews>
  <sheetFormatPr defaultRowHeight="14.4" x14ac:dyDescent="0.3"/>
  <cols>
    <col min="2" max="2" width="11.6640625" customWidth="1"/>
    <col min="3" max="3" width="11" customWidth="1"/>
    <col min="5" max="5" width="12" customWidth="1"/>
    <col min="6" max="6" width="10.6640625" customWidth="1"/>
  </cols>
  <sheetData>
    <row r="1" spans="1:6" x14ac:dyDescent="0.3">
      <c r="A1" s="21" t="s">
        <v>83</v>
      </c>
      <c r="B1" s="21" t="s">
        <v>75</v>
      </c>
      <c r="C1" s="21" t="s">
        <v>76</v>
      </c>
      <c r="D1" s="21" t="s">
        <v>77</v>
      </c>
      <c r="E1" s="21" t="s">
        <v>78</v>
      </c>
      <c r="F1" s="21" t="s">
        <v>79</v>
      </c>
    </row>
    <row r="2" spans="1:6" x14ac:dyDescent="0.3">
      <c r="A2" s="12">
        <v>1</v>
      </c>
      <c r="B2" s="15">
        <v>2</v>
      </c>
      <c r="C2" s="15" t="s">
        <v>80</v>
      </c>
      <c r="D2" s="15" t="s">
        <v>0</v>
      </c>
      <c r="E2" s="15" t="s">
        <v>41</v>
      </c>
      <c r="F2" s="15" t="s">
        <v>46</v>
      </c>
    </row>
    <row r="3" spans="1:6" x14ac:dyDescent="0.3">
      <c r="A3" s="28">
        <v>1</v>
      </c>
      <c r="B3" s="27">
        <v>2</v>
      </c>
      <c r="C3" s="15" t="s">
        <v>80</v>
      </c>
      <c r="D3" s="27" t="s">
        <v>40</v>
      </c>
      <c r="E3" s="27" t="s">
        <v>9</v>
      </c>
      <c r="F3" s="27" t="s">
        <v>46</v>
      </c>
    </row>
    <row r="4" spans="1:6" x14ac:dyDescent="0.3">
      <c r="A4" s="12">
        <v>1</v>
      </c>
      <c r="B4" s="14">
        <v>1</v>
      </c>
      <c r="C4" s="13" t="s">
        <v>81</v>
      </c>
      <c r="D4" s="8" t="s">
        <v>29</v>
      </c>
      <c r="E4" s="15" t="s">
        <v>42</v>
      </c>
      <c r="F4" s="15" t="s">
        <v>72</v>
      </c>
    </row>
    <row r="5" spans="1:6" x14ac:dyDescent="0.3">
      <c r="A5" s="28">
        <v>1</v>
      </c>
      <c r="B5" s="14">
        <v>1</v>
      </c>
      <c r="C5" s="14" t="s">
        <v>81</v>
      </c>
      <c r="D5" s="8" t="s">
        <v>29</v>
      </c>
      <c r="E5" s="27" t="s">
        <v>42</v>
      </c>
      <c r="F5" s="27" t="s">
        <v>67</v>
      </c>
    </row>
    <row r="6" spans="1:6" x14ac:dyDescent="0.3">
      <c r="A6" s="12">
        <v>1</v>
      </c>
      <c r="B6" s="15">
        <v>2</v>
      </c>
      <c r="C6" s="15" t="s">
        <v>80</v>
      </c>
      <c r="D6" s="15" t="s">
        <v>0</v>
      </c>
      <c r="E6" s="15" t="s">
        <v>41</v>
      </c>
      <c r="F6" s="15" t="s">
        <v>45</v>
      </c>
    </row>
    <row r="7" spans="1:6" x14ac:dyDescent="0.3">
      <c r="A7" s="28">
        <v>1</v>
      </c>
      <c r="B7" s="27">
        <v>2</v>
      </c>
      <c r="C7" s="15" t="s">
        <v>80</v>
      </c>
      <c r="D7" s="27" t="s">
        <v>40</v>
      </c>
      <c r="E7" s="27" t="s">
        <v>9</v>
      </c>
      <c r="F7" s="27" t="s">
        <v>45</v>
      </c>
    </row>
    <row r="8" spans="1:6" x14ac:dyDescent="0.3">
      <c r="A8" s="12">
        <v>1</v>
      </c>
      <c r="B8" s="15">
        <v>2</v>
      </c>
      <c r="C8" s="15" t="s">
        <v>80</v>
      </c>
      <c r="D8" s="15" t="s">
        <v>0</v>
      </c>
      <c r="E8" s="15" t="s">
        <v>41</v>
      </c>
      <c r="F8" s="15" t="s">
        <v>48</v>
      </c>
    </row>
    <row r="9" spans="1:6" x14ac:dyDescent="0.3">
      <c r="A9" s="28">
        <v>1</v>
      </c>
      <c r="B9" s="27">
        <v>1</v>
      </c>
      <c r="C9" s="27" t="s">
        <v>81</v>
      </c>
      <c r="D9" s="27" t="s">
        <v>40</v>
      </c>
      <c r="E9" s="27" t="s">
        <v>10</v>
      </c>
      <c r="F9" s="27" t="s">
        <v>48</v>
      </c>
    </row>
    <row r="10" spans="1:6" x14ac:dyDescent="0.3">
      <c r="A10" s="12">
        <v>1</v>
      </c>
      <c r="B10" s="14">
        <v>2</v>
      </c>
      <c r="C10" s="13" t="s">
        <v>80</v>
      </c>
      <c r="D10" s="8" t="s">
        <v>29</v>
      </c>
      <c r="E10" s="15" t="s">
        <v>42</v>
      </c>
      <c r="F10" s="15" t="s">
        <v>71</v>
      </c>
    </row>
    <row r="11" spans="1:6" x14ac:dyDescent="0.3">
      <c r="A11" s="28">
        <v>1</v>
      </c>
      <c r="B11" s="27">
        <v>1</v>
      </c>
      <c r="C11" s="27" t="s">
        <v>81</v>
      </c>
      <c r="D11" s="27" t="s">
        <v>0</v>
      </c>
      <c r="E11" s="27" t="s">
        <v>41</v>
      </c>
      <c r="F11" s="27" t="s">
        <v>44</v>
      </c>
    </row>
    <row r="12" spans="1:6" x14ac:dyDescent="0.3">
      <c r="A12" s="12">
        <v>1</v>
      </c>
      <c r="B12" s="15">
        <v>2</v>
      </c>
      <c r="C12" s="15" t="s">
        <v>80</v>
      </c>
      <c r="D12" s="15" t="s">
        <v>40</v>
      </c>
      <c r="E12" s="15" t="s">
        <v>10</v>
      </c>
      <c r="F12" s="15" t="s">
        <v>44</v>
      </c>
    </row>
    <row r="13" spans="1:6" x14ac:dyDescent="0.3">
      <c r="A13" s="28">
        <v>1</v>
      </c>
      <c r="B13" s="27">
        <v>2</v>
      </c>
      <c r="C13" s="27" t="s">
        <v>80</v>
      </c>
      <c r="D13" s="27" t="s">
        <v>0</v>
      </c>
      <c r="E13" s="27" t="s">
        <v>41</v>
      </c>
      <c r="F13" s="27" t="s">
        <v>43</v>
      </c>
    </row>
    <row r="14" spans="1:6" x14ac:dyDescent="0.3">
      <c r="A14" s="12">
        <v>1</v>
      </c>
      <c r="B14" s="15">
        <v>1</v>
      </c>
      <c r="C14" s="15" t="s">
        <v>81</v>
      </c>
      <c r="D14" s="15" t="s">
        <v>40</v>
      </c>
      <c r="E14" s="15" t="s">
        <v>10</v>
      </c>
      <c r="F14" s="15" t="s">
        <v>43</v>
      </c>
    </row>
    <row r="15" spans="1:6" x14ac:dyDescent="0.3">
      <c r="A15" s="28">
        <v>1</v>
      </c>
      <c r="B15" s="14">
        <v>2</v>
      </c>
      <c r="C15" s="14" t="s">
        <v>80</v>
      </c>
      <c r="D15" s="8" t="s">
        <v>29</v>
      </c>
      <c r="E15" s="27" t="s">
        <v>42</v>
      </c>
      <c r="F15" s="27" t="s">
        <v>73</v>
      </c>
    </row>
    <row r="16" spans="1:6" x14ac:dyDescent="0.3">
      <c r="A16" s="12">
        <v>1</v>
      </c>
      <c r="B16" s="15">
        <v>1</v>
      </c>
      <c r="C16" s="15" t="s">
        <v>81</v>
      </c>
      <c r="D16" s="15" t="s">
        <v>0</v>
      </c>
      <c r="E16" s="15" t="s">
        <v>41</v>
      </c>
      <c r="F16" s="15" t="s">
        <v>50</v>
      </c>
    </row>
    <row r="17" spans="1:6" x14ac:dyDescent="0.3">
      <c r="A17" s="28">
        <v>1</v>
      </c>
      <c r="B17" s="27">
        <v>1</v>
      </c>
      <c r="C17" s="15" t="s">
        <v>81</v>
      </c>
      <c r="D17" s="27" t="s">
        <v>40</v>
      </c>
      <c r="E17" s="27" t="s">
        <v>9</v>
      </c>
      <c r="F17" s="27" t="s">
        <v>50</v>
      </c>
    </row>
    <row r="18" spans="1:6" x14ac:dyDescent="0.3">
      <c r="A18" s="12">
        <v>1</v>
      </c>
      <c r="B18" s="14">
        <v>2</v>
      </c>
      <c r="C18" s="13" t="s">
        <v>80</v>
      </c>
      <c r="D18" s="8" t="s">
        <v>29</v>
      </c>
      <c r="E18" s="15" t="s">
        <v>42</v>
      </c>
      <c r="F18" s="15" t="s">
        <v>68</v>
      </c>
    </row>
    <row r="19" spans="1:6" x14ac:dyDescent="0.3">
      <c r="A19" s="28">
        <v>1</v>
      </c>
      <c r="B19" s="27">
        <v>1</v>
      </c>
      <c r="C19" s="27" t="s">
        <v>81</v>
      </c>
      <c r="D19" s="27" t="s">
        <v>0</v>
      </c>
      <c r="E19" s="27" t="s">
        <v>41</v>
      </c>
      <c r="F19" s="27" t="s">
        <v>47</v>
      </c>
    </row>
    <row r="20" spans="1:6" x14ac:dyDescent="0.3">
      <c r="A20" s="12">
        <v>1</v>
      </c>
      <c r="B20" s="15">
        <v>1</v>
      </c>
      <c r="C20" s="15" t="s">
        <v>81</v>
      </c>
      <c r="D20" s="15" t="s">
        <v>40</v>
      </c>
      <c r="E20" s="15" t="s">
        <v>9</v>
      </c>
      <c r="F20" s="15" t="s">
        <v>47</v>
      </c>
    </row>
    <row r="21" spans="1:6" x14ac:dyDescent="0.3">
      <c r="A21" s="28">
        <v>1</v>
      </c>
      <c r="B21" s="14">
        <v>1</v>
      </c>
      <c r="C21" s="14" t="s">
        <v>81</v>
      </c>
      <c r="D21" s="8" t="s">
        <v>29</v>
      </c>
      <c r="E21" s="27" t="s">
        <v>42</v>
      </c>
      <c r="F21" s="27" t="s">
        <v>74</v>
      </c>
    </row>
    <row r="22" spans="1:6" x14ac:dyDescent="0.3">
      <c r="A22" s="12">
        <v>1</v>
      </c>
      <c r="B22" s="14">
        <v>2</v>
      </c>
      <c r="C22" s="13" t="s">
        <v>80</v>
      </c>
      <c r="D22" s="8" t="s">
        <v>29</v>
      </c>
      <c r="E22" s="15" t="s">
        <v>42</v>
      </c>
      <c r="F22" s="15" t="s">
        <v>69</v>
      </c>
    </row>
    <row r="23" spans="1:6" x14ac:dyDescent="0.3">
      <c r="A23" s="28">
        <v>1</v>
      </c>
      <c r="B23" s="27">
        <v>1</v>
      </c>
      <c r="C23" s="27" t="s">
        <v>81</v>
      </c>
      <c r="D23" s="27" t="s">
        <v>0</v>
      </c>
      <c r="E23" s="27" t="s">
        <v>41</v>
      </c>
      <c r="F23" s="27" t="s">
        <v>49</v>
      </c>
    </row>
    <row r="24" spans="1:6" x14ac:dyDescent="0.3">
      <c r="A24" s="12">
        <v>1</v>
      </c>
      <c r="B24" s="15">
        <v>2</v>
      </c>
      <c r="C24" s="15" t="s">
        <v>80</v>
      </c>
      <c r="D24" s="15" t="s">
        <v>40</v>
      </c>
      <c r="E24" s="15" t="s">
        <v>10</v>
      </c>
      <c r="F24" s="15" t="s">
        <v>49</v>
      </c>
    </row>
    <row r="25" spans="1:6" x14ac:dyDescent="0.3">
      <c r="A25" s="28">
        <v>1</v>
      </c>
      <c r="B25" s="14">
        <v>1</v>
      </c>
      <c r="C25" s="14" t="s">
        <v>81</v>
      </c>
      <c r="D25" s="8" t="s">
        <v>29</v>
      </c>
      <c r="E25" s="27" t="s">
        <v>42</v>
      </c>
      <c r="F25" s="27" t="s">
        <v>70</v>
      </c>
    </row>
    <row r="26" spans="1:6" x14ac:dyDescent="0.3">
      <c r="A26" s="4">
        <v>2</v>
      </c>
      <c r="B26" s="4">
        <v>1</v>
      </c>
      <c r="C26" s="7" t="s">
        <v>81</v>
      </c>
      <c r="D26" s="4" t="s">
        <v>0</v>
      </c>
      <c r="E26" s="4" t="s">
        <v>41</v>
      </c>
      <c r="F26" s="4" t="s">
        <v>54</v>
      </c>
    </row>
    <row r="27" spans="1:6" x14ac:dyDescent="0.3">
      <c r="A27" s="15">
        <v>2</v>
      </c>
      <c r="B27" s="15">
        <v>1</v>
      </c>
      <c r="C27" s="12" t="s">
        <v>81</v>
      </c>
      <c r="D27" s="15" t="s">
        <v>40</v>
      </c>
      <c r="E27" s="15" t="s">
        <v>9</v>
      </c>
      <c r="F27" s="15" t="s">
        <v>54</v>
      </c>
    </row>
    <row r="28" spans="1:6" x14ac:dyDescent="0.3">
      <c r="A28" s="4">
        <v>2</v>
      </c>
      <c r="B28" s="9">
        <v>2</v>
      </c>
      <c r="C28" s="9" t="s">
        <v>80</v>
      </c>
      <c r="D28" s="9" t="s">
        <v>29</v>
      </c>
      <c r="E28" s="4" t="s">
        <v>42</v>
      </c>
      <c r="F28" s="4" t="s">
        <v>46</v>
      </c>
    </row>
    <row r="29" spans="1:6" x14ac:dyDescent="0.3">
      <c r="A29" s="15">
        <v>2</v>
      </c>
      <c r="B29" s="15">
        <v>1</v>
      </c>
      <c r="C29" s="15" t="s">
        <v>81</v>
      </c>
      <c r="D29" s="15" t="s">
        <v>0</v>
      </c>
      <c r="E29" s="15" t="s">
        <v>41</v>
      </c>
      <c r="F29" s="15" t="s">
        <v>56</v>
      </c>
    </row>
    <row r="30" spans="1:6" x14ac:dyDescent="0.3">
      <c r="A30" s="4">
        <v>2</v>
      </c>
      <c r="B30" s="4">
        <v>1</v>
      </c>
      <c r="C30" s="4" t="s">
        <v>81</v>
      </c>
      <c r="D30" s="4" t="s">
        <v>40</v>
      </c>
      <c r="E30" s="4" t="s">
        <v>9</v>
      </c>
      <c r="F30" s="4" t="s">
        <v>56</v>
      </c>
    </row>
    <row r="31" spans="1:6" x14ac:dyDescent="0.3">
      <c r="A31" s="15">
        <v>2</v>
      </c>
      <c r="B31" s="15">
        <v>1</v>
      </c>
      <c r="C31" s="15" t="s">
        <v>81</v>
      </c>
      <c r="D31" s="15" t="s">
        <v>0</v>
      </c>
      <c r="E31" s="15" t="s">
        <v>41</v>
      </c>
      <c r="F31" s="15" t="s">
        <v>58</v>
      </c>
    </row>
    <row r="32" spans="1:6" x14ac:dyDescent="0.3">
      <c r="A32" s="4">
        <v>2</v>
      </c>
      <c r="B32" s="4">
        <v>2</v>
      </c>
      <c r="C32" s="4" t="s">
        <v>80</v>
      </c>
      <c r="D32" s="4" t="s">
        <v>40</v>
      </c>
      <c r="E32" s="4" t="s">
        <v>10</v>
      </c>
      <c r="F32" s="4" t="s">
        <v>58</v>
      </c>
    </row>
    <row r="33" spans="1:6" x14ac:dyDescent="0.3">
      <c r="A33" s="15">
        <v>2</v>
      </c>
      <c r="B33" s="9">
        <v>2</v>
      </c>
      <c r="C33" s="9" t="s">
        <v>80</v>
      </c>
      <c r="D33" s="9" t="s">
        <v>29</v>
      </c>
      <c r="E33" s="15" t="s">
        <v>42</v>
      </c>
      <c r="F33" s="15" t="s">
        <v>45</v>
      </c>
    </row>
    <row r="34" spans="1:6" x14ac:dyDescent="0.3">
      <c r="A34" s="4">
        <v>2</v>
      </c>
      <c r="B34" s="4">
        <v>2</v>
      </c>
      <c r="C34" s="4" t="s">
        <v>80</v>
      </c>
      <c r="D34" s="4" t="s">
        <v>0</v>
      </c>
      <c r="E34" s="4" t="s">
        <v>41</v>
      </c>
      <c r="F34" s="4" t="s">
        <v>52</v>
      </c>
    </row>
    <row r="35" spans="1:6" x14ac:dyDescent="0.3">
      <c r="A35" s="15">
        <v>2</v>
      </c>
      <c r="B35" s="15">
        <v>1</v>
      </c>
      <c r="C35" s="15" t="s">
        <v>81</v>
      </c>
      <c r="D35" s="15" t="s">
        <v>40</v>
      </c>
      <c r="E35" s="15" t="s">
        <v>10</v>
      </c>
      <c r="F35" s="15" t="s">
        <v>52</v>
      </c>
    </row>
    <row r="36" spans="1:6" x14ac:dyDescent="0.3">
      <c r="A36" s="4">
        <v>2</v>
      </c>
      <c r="B36" s="4">
        <v>1</v>
      </c>
      <c r="C36" s="4" t="s">
        <v>81</v>
      </c>
      <c r="D36" s="4" t="s">
        <v>0</v>
      </c>
      <c r="E36" s="4" t="s">
        <v>41</v>
      </c>
      <c r="F36" s="4" t="s">
        <v>57</v>
      </c>
    </row>
    <row r="37" spans="1:6" x14ac:dyDescent="0.3">
      <c r="A37" s="15">
        <v>2</v>
      </c>
      <c r="B37" s="15">
        <v>2</v>
      </c>
      <c r="C37" s="15" t="s">
        <v>80</v>
      </c>
      <c r="D37" s="15" t="s">
        <v>40</v>
      </c>
      <c r="E37" s="15" t="s">
        <v>10</v>
      </c>
      <c r="F37" s="15" t="s">
        <v>57</v>
      </c>
    </row>
    <row r="38" spans="1:6" x14ac:dyDescent="0.3">
      <c r="A38" s="4">
        <v>2</v>
      </c>
      <c r="B38" s="9">
        <v>1</v>
      </c>
      <c r="C38" s="9" t="s">
        <v>81</v>
      </c>
      <c r="D38" s="9" t="s">
        <v>29</v>
      </c>
      <c r="E38" s="4" t="s">
        <v>42</v>
      </c>
      <c r="F38" s="4" t="s">
        <v>48</v>
      </c>
    </row>
    <row r="39" spans="1:6" x14ac:dyDescent="0.3">
      <c r="A39" s="15">
        <v>2</v>
      </c>
      <c r="B39" s="9">
        <v>1</v>
      </c>
      <c r="C39" s="9" t="s">
        <v>81</v>
      </c>
      <c r="D39" s="9" t="s">
        <v>29</v>
      </c>
      <c r="E39" s="15" t="s">
        <v>42</v>
      </c>
      <c r="F39" s="15" t="s">
        <v>44</v>
      </c>
    </row>
    <row r="40" spans="1:6" x14ac:dyDescent="0.3">
      <c r="A40" s="4">
        <v>2</v>
      </c>
      <c r="B40" s="4">
        <v>2</v>
      </c>
      <c r="C40" s="4" t="s">
        <v>80</v>
      </c>
      <c r="D40" s="4" t="s">
        <v>0</v>
      </c>
      <c r="E40" s="4" t="s">
        <v>41</v>
      </c>
      <c r="F40" s="4" t="s">
        <v>55</v>
      </c>
    </row>
    <row r="41" spans="1:6" x14ac:dyDescent="0.3">
      <c r="A41" s="15">
        <v>2</v>
      </c>
      <c r="B41" s="15">
        <v>2</v>
      </c>
      <c r="C41" s="15" t="s">
        <v>80</v>
      </c>
      <c r="D41" s="15" t="s">
        <v>40</v>
      </c>
      <c r="E41" s="15" t="s">
        <v>9</v>
      </c>
      <c r="F41" s="15" t="s">
        <v>55</v>
      </c>
    </row>
    <row r="42" spans="1:6" x14ac:dyDescent="0.3">
      <c r="A42" s="4">
        <v>2</v>
      </c>
      <c r="B42" s="9">
        <v>1</v>
      </c>
      <c r="C42" s="9" t="s">
        <v>81</v>
      </c>
      <c r="D42" s="9" t="s">
        <v>29</v>
      </c>
      <c r="E42" s="4" t="s">
        <v>42</v>
      </c>
      <c r="F42" s="4" t="s">
        <v>43</v>
      </c>
    </row>
    <row r="43" spans="1:6" x14ac:dyDescent="0.3">
      <c r="A43" s="15">
        <v>2</v>
      </c>
      <c r="B43" s="15">
        <v>2</v>
      </c>
      <c r="C43" s="15" t="s">
        <v>80</v>
      </c>
      <c r="D43" s="15" t="s">
        <v>0</v>
      </c>
      <c r="E43" s="15" t="s">
        <v>41</v>
      </c>
      <c r="F43" s="15" t="s">
        <v>51</v>
      </c>
    </row>
    <row r="44" spans="1:6" x14ac:dyDescent="0.3">
      <c r="A44" s="4">
        <v>2</v>
      </c>
      <c r="B44" s="4">
        <v>2</v>
      </c>
      <c r="C44" s="4" t="s">
        <v>80</v>
      </c>
      <c r="D44" s="4" t="s">
        <v>40</v>
      </c>
      <c r="E44" s="4" t="s">
        <v>9</v>
      </c>
      <c r="F44" s="4" t="s">
        <v>51</v>
      </c>
    </row>
    <row r="45" spans="1:6" x14ac:dyDescent="0.3">
      <c r="A45" s="15">
        <v>2</v>
      </c>
      <c r="B45" s="9">
        <v>2</v>
      </c>
      <c r="C45" s="9" t="s">
        <v>80</v>
      </c>
      <c r="D45" s="9" t="s">
        <v>29</v>
      </c>
      <c r="E45" s="15" t="s">
        <v>42</v>
      </c>
      <c r="F45" s="15" t="s">
        <v>50</v>
      </c>
    </row>
    <row r="46" spans="1:6" x14ac:dyDescent="0.3">
      <c r="A46" s="4">
        <v>2</v>
      </c>
      <c r="B46" s="9">
        <v>1</v>
      </c>
      <c r="C46" s="9" t="s">
        <v>81</v>
      </c>
      <c r="D46" s="9" t="s">
        <v>29</v>
      </c>
      <c r="E46" s="4" t="s">
        <v>42</v>
      </c>
      <c r="F46" s="4" t="s">
        <v>47</v>
      </c>
    </row>
    <row r="47" spans="1:6" x14ac:dyDescent="0.3">
      <c r="A47" s="15">
        <v>2</v>
      </c>
      <c r="B47" s="9">
        <v>2</v>
      </c>
      <c r="C47" s="9" t="s">
        <v>80</v>
      </c>
      <c r="D47" s="9" t="s">
        <v>29</v>
      </c>
      <c r="E47" s="15" t="s">
        <v>42</v>
      </c>
      <c r="F47" s="15" t="s">
        <v>49</v>
      </c>
    </row>
    <row r="48" spans="1:6" x14ac:dyDescent="0.3">
      <c r="A48" s="4">
        <v>2</v>
      </c>
      <c r="B48" s="4">
        <v>2</v>
      </c>
      <c r="C48" s="4" t="s">
        <v>80</v>
      </c>
      <c r="D48" s="4" t="s">
        <v>0</v>
      </c>
      <c r="E48" s="4" t="s">
        <v>41</v>
      </c>
      <c r="F48" s="4" t="s">
        <v>53</v>
      </c>
    </row>
    <row r="49" spans="1:6" x14ac:dyDescent="0.3">
      <c r="A49" s="15">
        <v>2</v>
      </c>
      <c r="B49" s="15">
        <v>1</v>
      </c>
      <c r="C49" s="15" t="s">
        <v>81</v>
      </c>
      <c r="D49" s="15" t="s">
        <v>40</v>
      </c>
      <c r="E49" s="15" t="s">
        <v>10</v>
      </c>
      <c r="F49" s="15" t="s">
        <v>53</v>
      </c>
    </row>
    <row r="50" spans="1:6" x14ac:dyDescent="0.3">
      <c r="A50" s="12">
        <v>3</v>
      </c>
      <c r="B50" s="10">
        <v>2</v>
      </c>
      <c r="C50" s="10" t="s">
        <v>80</v>
      </c>
      <c r="D50" s="10" t="s">
        <v>29</v>
      </c>
      <c r="E50" s="15" t="s">
        <v>42</v>
      </c>
      <c r="F50" s="15" t="s">
        <v>54</v>
      </c>
    </row>
    <row r="51" spans="1:6" x14ac:dyDescent="0.3">
      <c r="A51" s="28">
        <v>3</v>
      </c>
      <c r="B51" s="27">
        <v>1</v>
      </c>
      <c r="C51" s="27" t="s">
        <v>81</v>
      </c>
      <c r="D51" s="27" t="s">
        <v>0</v>
      </c>
      <c r="E51" s="27" t="s">
        <v>41</v>
      </c>
      <c r="F51" s="27" t="s">
        <v>64</v>
      </c>
    </row>
    <row r="52" spans="1:6" x14ac:dyDescent="0.3">
      <c r="A52" s="12">
        <v>3</v>
      </c>
      <c r="B52" s="15">
        <v>2</v>
      </c>
      <c r="C52" s="15" t="s">
        <v>80</v>
      </c>
      <c r="D52" s="15" t="s">
        <v>40</v>
      </c>
      <c r="E52" s="15" t="s">
        <v>10</v>
      </c>
      <c r="F52" s="15" t="s">
        <v>64</v>
      </c>
    </row>
    <row r="53" spans="1:6" x14ac:dyDescent="0.3">
      <c r="A53" s="28">
        <v>3</v>
      </c>
      <c r="B53" s="10">
        <v>2</v>
      </c>
      <c r="C53" s="10" t="s">
        <v>80</v>
      </c>
      <c r="D53" s="10" t="s">
        <v>29</v>
      </c>
      <c r="E53" s="27" t="s">
        <v>42</v>
      </c>
      <c r="F53" s="27" t="s">
        <v>56</v>
      </c>
    </row>
    <row r="54" spans="1:6" x14ac:dyDescent="0.3">
      <c r="A54" s="12">
        <v>3</v>
      </c>
      <c r="B54" s="15">
        <v>2</v>
      </c>
      <c r="C54" s="15" t="s">
        <v>80</v>
      </c>
      <c r="D54" s="15" t="s">
        <v>0</v>
      </c>
      <c r="E54" s="15" t="s">
        <v>41</v>
      </c>
      <c r="F54" s="15" t="s">
        <v>62</v>
      </c>
    </row>
    <row r="55" spans="1:6" x14ac:dyDescent="0.3">
      <c r="A55" s="28">
        <v>3</v>
      </c>
      <c r="B55" s="27">
        <v>1</v>
      </c>
      <c r="C55" s="27" t="s">
        <v>81</v>
      </c>
      <c r="D55" s="27" t="s">
        <v>40</v>
      </c>
      <c r="E55" s="27" t="s">
        <v>10</v>
      </c>
      <c r="F55" s="27" t="s">
        <v>62</v>
      </c>
    </row>
    <row r="56" spans="1:6" x14ac:dyDescent="0.3">
      <c r="A56" s="12">
        <v>3</v>
      </c>
      <c r="B56" s="15">
        <v>1</v>
      </c>
      <c r="C56" s="15" t="s">
        <v>81</v>
      </c>
      <c r="D56" s="15" t="s">
        <v>0</v>
      </c>
      <c r="E56" s="15" t="s">
        <v>41</v>
      </c>
      <c r="F56" s="15" t="s">
        <v>66</v>
      </c>
    </row>
    <row r="57" spans="1:6" x14ac:dyDescent="0.3">
      <c r="A57" s="28">
        <v>3</v>
      </c>
      <c r="B57" s="27">
        <v>2</v>
      </c>
      <c r="C57" s="27" t="s">
        <v>80</v>
      </c>
      <c r="D57" s="27" t="s">
        <v>40</v>
      </c>
      <c r="E57" s="27" t="s">
        <v>10</v>
      </c>
      <c r="F57" s="27" t="s">
        <v>66</v>
      </c>
    </row>
    <row r="58" spans="1:6" x14ac:dyDescent="0.3">
      <c r="A58" s="12">
        <v>3</v>
      </c>
      <c r="B58" s="10">
        <v>1</v>
      </c>
      <c r="C58" s="10" t="s">
        <v>81</v>
      </c>
      <c r="D58" s="10" t="s">
        <v>29</v>
      </c>
      <c r="E58" s="15" t="s">
        <v>42</v>
      </c>
      <c r="F58" s="15" t="s">
        <v>58</v>
      </c>
    </row>
    <row r="59" spans="1:6" x14ac:dyDescent="0.3">
      <c r="A59" s="28">
        <v>3</v>
      </c>
      <c r="B59" s="27">
        <v>2</v>
      </c>
      <c r="C59" s="27" t="s">
        <v>80</v>
      </c>
      <c r="D59" s="27" t="s">
        <v>0</v>
      </c>
      <c r="E59" s="27" t="s">
        <v>41</v>
      </c>
      <c r="F59" s="27" t="s">
        <v>65</v>
      </c>
    </row>
    <row r="60" spans="1:6" x14ac:dyDescent="0.3">
      <c r="A60" s="12">
        <v>3</v>
      </c>
      <c r="B60" s="15">
        <v>2</v>
      </c>
      <c r="C60" s="15" t="s">
        <v>80</v>
      </c>
      <c r="D60" s="15" t="s">
        <v>40</v>
      </c>
      <c r="E60" s="15" t="s">
        <v>9</v>
      </c>
      <c r="F60" s="15" t="s">
        <v>65</v>
      </c>
    </row>
    <row r="61" spans="1:6" x14ac:dyDescent="0.3">
      <c r="A61" s="28">
        <v>3</v>
      </c>
      <c r="B61" s="10">
        <v>1</v>
      </c>
      <c r="C61" s="10" t="s">
        <v>81</v>
      </c>
      <c r="D61" s="10" t="s">
        <v>29</v>
      </c>
      <c r="E61" s="27" t="s">
        <v>42</v>
      </c>
      <c r="F61" s="27" t="s">
        <v>52</v>
      </c>
    </row>
    <row r="62" spans="1:6" x14ac:dyDescent="0.3">
      <c r="A62" s="12">
        <v>3</v>
      </c>
      <c r="B62" s="10">
        <v>1</v>
      </c>
      <c r="C62" s="10" t="s">
        <v>81</v>
      </c>
      <c r="D62" s="10" t="s">
        <v>29</v>
      </c>
      <c r="E62" s="15" t="s">
        <v>42</v>
      </c>
      <c r="F62" s="15" t="s">
        <v>57</v>
      </c>
    </row>
    <row r="63" spans="1:6" x14ac:dyDescent="0.3">
      <c r="A63" s="28">
        <v>3</v>
      </c>
      <c r="B63" s="27">
        <v>2</v>
      </c>
      <c r="C63" s="27" t="s">
        <v>80</v>
      </c>
      <c r="D63" s="27" t="s">
        <v>0</v>
      </c>
      <c r="E63" s="27" t="s">
        <v>41</v>
      </c>
      <c r="F63" s="27" t="s">
        <v>59</v>
      </c>
    </row>
    <row r="64" spans="1:6" x14ac:dyDescent="0.3">
      <c r="A64" s="12">
        <v>3</v>
      </c>
      <c r="B64" s="15">
        <v>2</v>
      </c>
      <c r="C64" s="15" t="s">
        <v>80</v>
      </c>
      <c r="D64" s="15" t="s">
        <v>40</v>
      </c>
      <c r="E64" s="15" t="s">
        <v>9</v>
      </c>
      <c r="F64" s="15" t="s">
        <v>59</v>
      </c>
    </row>
    <row r="65" spans="1:6" x14ac:dyDescent="0.3">
      <c r="A65" s="28">
        <v>3</v>
      </c>
      <c r="B65" s="27">
        <v>2</v>
      </c>
      <c r="C65" s="27" t="s">
        <v>80</v>
      </c>
      <c r="D65" s="27" t="s">
        <v>0</v>
      </c>
      <c r="E65" s="27" t="s">
        <v>41</v>
      </c>
      <c r="F65" s="27" t="s">
        <v>61</v>
      </c>
    </row>
    <row r="66" spans="1:6" x14ac:dyDescent="0.3">
      <c r="A66" s="12">
        <v>3</v>
      </c>
      <c r="B66" s="15">
        <v>1</v>
      </c>
      <c r="C66" s="15" t="s">
        <v>81</v>
      </c>
      <c r="D66" s="15" t="s">
        <v>40</v>
      </c>
      <c r="E66" s="15" t="s">
        <v>10</v>
      </c>
      <c r="F66" s="15" t="s">
        <v>61</v>
      </c>
    </row>
    <row r="67" spans="1:6" x14ac:dyDescent="0.3">
      <c r="A67" s="28">
        <v>3</v>
      </c>
      <c r="B67" s="10">
        <v>2</v>
      </c>
      <c r="C67" s="10" t="s">
        <v>80</v>
      </c>
      <c r="D67" s="10" t="s">
        <v>29</v>
      </c>
      <c r="E67" s="27" t="s">
        <v>42</v>
      </c>
      <c r="F67" s="27" t="s">
        <v>55</v>
      </c>
    </row>
    <row r="68" spans="1:6" x14ac:dyDescent="0.3">
      <c r="A68" s="12">
        <v>3</v>
      </c>
      <c r="B68" s="15">
        <v>1</v>
      </c>
      <c r="C68" s="15" t="s">
        <v>81</v>
      </c>
      <c r="D68" s="15" t="s">
        <v>0</v>
      </c>
      <c r="E68" s="15" t="s">
        <v>41</v>
      </c>
      <c r="F68" s="15" t="s">
        <v>63</v>
      </c>
    </row>
    <row r="69" spans="1:6" x14ac:dyDescent="0.3">
      <c r="A69" s="28">
        <v>3</v>
      </c>
      <c r="B69" s="27">
        <v>1</v>
      </c>
      <c r="C69" s="27" t="s">
        <v>81</v>
      </c>
      <c r="D69" s="27" t="s">
        <v>40</v>
      </c>
      <c r="E69" s="27" t="s">
        <v>9</v>
      </c>
      <c r="F69" s="27" t="s">
        <v>63</v>
      </c>
    </row>
    <row r="70" spans="1:6" x14ac:dyDescent="0.3">
      <c r="A70" s="12">
        <v>3</v>
      </c>
      <c r="B70" s="10">
        <v>2</v>
      </c>
      <c r="C70" s="10" t="s">
        <v>80</v>
      </c>
      <c r="D70" s="10" t="s">
        <v>29</v>
      </c>
      <c r="E70" s="15" t="s">
        <v>42</v>
      </c>
      <c r="F70" s="15" t="s">
        <v>51</v>
      </c>
    </row>
    <row r="71" spans="1:6" x14ac:dyDescent="0.3">
      <c r="A71" s="28">
        <v>3</v>
      </c>
      <c r="B71" s="27">
        <v>1</v>
      </c>
      <c r="C71" s="27" t="s">
        <v>81</v>
      </c>
      <c r="D71" s="27" t="s">
        <v>0</v>
      </c>
      <c r="E71" s="27" t="s">
        <v>41</v>
      </c>
      <c r="F71" s="27" t="s">
        <v>60</v>
      </c>
    </row>
    <row r="72" spans="1:6" x14ac:dyDescent="0.3">
      <c r="A72" s="12">
        <v>3</v>
      </c>
      <c r="B72" s="15">
        <v>1</v>
      </c>
      <c r="C72" s="15" t="s">
        <v>81</v>
      </c>
      <c r="D72" s="15" t="s">
        <v>40</v>
      </c>
      <c r="E72" s="15" t="s">
        <v>9</v>
      </c>
      <c r="F72" s="15" t="s">
        <v>60</v>
      </c>
    </row>
    <row r="73" spans="1:6" x14ac:dyDescent="0.3">
      <c r="A73" s="28">
        <v>3</v>
      </c>
      <c r="B73" s="10">
        <v>1</v>
      </c>
      <c r="C73" s="10" t="s">
        <v>81</v>
      </c>
      <c r="D73" s="10" t="s">
        <v>29</v>
      </c>
      <c r="E73" s="27" t="s">
        <v>42</v>
      </c>
      <c r="F73" s="27" t="s">
        <v>53</v>
      </c>
    </row>
    <row r="74" spans="1:6" x14ac:dyDescent="0.3">
      <c r="A74" s="4">
        <v>4</v>
      </c>
      <c r="B74" s="11">
        <v>2</v>
      </c>
      <c r="C74" s="11" t="s">
        <v>80</v>
      </c>
      <c r="D74" s="11" t="s">
        <v>29</v>
      </c>
      <c r="E74" s="4" t="s">
        <v>42</v>
      </c>
      <c r="F74" s="4" t="s">
        <v>64</v>
      </c>
    </row>
    <row r="75" spans="1:6" x14ac:dyDescent="0.3">
      <c r="A75" s="15">
        <v>4</v>
      </c>
      <c r="B75" s="15">
        <v>1</v>
      </c>
      <c r="C75" s="15" t="s">
        <v>81</v>
      </c>
      <c r="D75" s="15" t="s">
        <v>0</v>
      </c>
      <c r="E75" s="15" t="s">
        <v>41</v>
      </c>
      <c r="F75" s="15" t="s">
        <v>72</v>
      </c>
    </row>
    <row r="76" spans="1:6" x14ac:dyDescent="0.3">
      <c r="A76" s="4">
        <v>4</v>
      </c>
      <c r="B76" s="4">
        <v>1</v>
      </c>
      <c r="C76" s="4" t="s">
        <v>81</v>
      </c>
      <c r="D76" s="4" t="s">
        <v>40</v>
      </c>
      <c r="E76" s="4" t="s">
        <v>9</v>
      </c>
      <c r="F76" s="4" t="s">
        <v>72</v>
      </c>
    </row>
    <row r="77" spans="1:6" x14ac:dyDescent="0.3">
      <c r="A77" s="15">
        <v>4</v>
      </c>
      <c r="B77" s="15">
        <v>1</v>
      </c>
      <c r="C77" s="15" t="s">
        <v>81</v>
      </c>
      <c r="D77" s="15" t="s">
        <v>0</v>
      </c>
      <c r="E77" s="15" t="s">
        <v>41</v>
      </c>
      <c r="F77" s="15" t="s">
        <v>67</v>
      </c>
    </row>
    <row r="78" spans="1:6" x14ac:dyDescent="0.3">
      <c r="A78" s="4">
        <v>4</v>
      </c>
      <c r="B78" s="4">
        <v>2</v>
      </c>
      <c r="C78" s="4" t="s">
        <v>80</v>
      </c>
      <c r="D78" s="4" t="s">
        <v>40</v>
      </c>
      <c r="E78" s="4" t="s">
        <v>10</v>
      </c>
      <c r="F78" s="4" t="s">
        <v>67</v>
      </c>
    </row>
    <row r="79" spans="1:6" x14ac:dyDescent="0.3">
      <c r="A79" s="15">
        <v>4</v>
      </c>
      <c r="B79" s="11">
        <v>1</v>
      </c>
      <c r="C79" s="11" t="s">
        <v>81</v>
      </c>
      <c r="D79" s="11" t="s">
        <v>29</v>
      </c>
      <c r="E79" s="15" t="s">
        <v>42</v>
      </c>
      <c r="F79" s="15" t="s">
        <v>62</v>
      </c>
    </row>
    <row r="80" spans="1:6" x14ac:dyDescent="0.3">
      <c r="A80" s="4">
        <v>4</v>
      </c>
      <c r="B80" s="4">
        <v>2</v>
      </c>
      <c r="C80" s="4" t="s">
        <v>80</v>
      </c>
      <c r="D80" s="4" t="s">
        <v>0</v>
      </c>
      <c r="E80" s="4" t="s">
        <v>41</v>
      </c>
      <c r="F80" s="4" t="s">
        <v>71</v>
      </c>
    </row>
    <row r="81" spans="1:6" x14ac:dyDescent="0.3">
      <c r="A81" s="15">
        <v>4</v>
      </c>
      <c r="B81" s="15">
        <v>2</v>
      </c>
      <c r="C81" s="15" t="s">
        <v>80</v>
      </c>
      <c r="D81" s="15" t="s">
        <v>40</v>
      </c>
      <c r="E81" s="15" t="s">
        <v>9</v>
      </c>
      <c r="F81" s="15" t="s">
        <v>71</v>
      </c>
    </row>
    <row r="82" spans="1:6" x14ac:dyDescent="0.3">
      <c r="A82" s="4">
        <v>4</v>
      </c>
      <c r="B82" s="4">
        <v>2</v>
      </c>
      <c r="C82" s="4" t="s">
        <v>80</v>
      </c>
      <c r="D82" s="4" t="s">
        <v>0</v>
      </c>
      <c r="E82" s="4" t="s">
        <v>41</v>
      </c>
      <c r="F82" s="4" t="s">
        <v>73</v>
      </c>
    </row>
    <row r="83" spans="1:6" x14ac:dyDescent="0.3">
      <c r="A83" s="15">
        <v>4</v>
      </c>
      <c r="B83" s="15">
        <v>1</v>
      </c>
      <c r="C83" s="15" t="s">
        <v>81</v>
      </c>
      <c r="D83" s="15" t="s">
        <v>40</v>
      </c>
      <c r="E83" s="15" t="s">
        <v>10</v>
      </c>
      <c r="F83" s="15" t="s">
        <v>73</v>
      </c>
    </row>
    <row r="84" spans="1:6" x14ac:dyDescent="0.3">
      <c r="A84" s="4">
        <v>4</v>
      </c>
      <c r="B84" s="11">
        <v>2</v>
      </c>
      <c r="C84" s="11" t="s">
        <v>80</v>
      </c>
      <c r="D84" s="11" t="s">
        <v>29</v>
      </c>
      <c r="E84" s="4" t="s">
        <v>42</v>
      </c>
      <c r="F84" s="4" t="s">
        <v>66</v>
      </c>
    </row>
    <row r="85" spans="1:6" x14ac:dyDescent="0.3">
      <c r="A85" s="15">
        <v>4</v>
      </c>
      <c r="B85" s="11">
        <v>1</v>
      </c>
      <c r="C85" s="11" t="s">
        <v>81</v>
      </c>
      <c r="D85" s="11" t="s">
        <v>29</v>
      </c>
      <c r="E85" s="15" t="s">
        <v>42</v>
      </c>
      <c r="F85" s="15" t="s">
        <v>65</v>
      </c>
    </row>
    <row r="86" spans="1:6" x14ac:dyDescent="0.3">
      <c r="A86" s="4">
        <v>4</v>
      </c>
      <c r="B86" s="11">
        <v>2</v>
      </c>
      <c r="C86" s="11" t="s">
        <v>80</v>
      </c>
      <c r="D86" s="11" t="s">
        <v>29</v>
      </c>
      <c r="E86" s="4" t="s">
        <v>42</v>
      </c>
      <c r="F86" s="4" t="s">
        <v>59</v>
      </c>
    </row>
    <row r="87" spans="1:6" x14ac:dyDescent="0.3">
      <c r="A87" s="15">
        <v>4</v>
      </c>
      <c r="B87" s="15">
        <v>1</v>
      </c>
      <c r="C87" s="15" t="s">
        <v>81</v>
      </c>
      <c r="D87" s="15" t="s">
        <v>0</v>
      </c>
      <c r="E87" s="15" t="s">
        <v>41</v>
      </c>
      <c r="F87" s="15" t="s">
        <v>68</v>
      </c>
    </row>
    <row r="88" spans="1:6" x14ac:dyDescent="0.3">
      <c r="A88" s="4">
        <v>4</v>
      </c>
      <c r="B88" s="4">
        <v>2</v>
      </c>
      <c r="C88" s="4" t="s">
        <v>80</v>
      </c>
      <c r="D88" s="4" t="s">
        <v>40</v>
      </c>
      <c r="E88" s="4" t="s">
        <v>10</v>
      </c>
      <c r="F88" s="4" t="s">
        <v>68</v>
      </c>
    </row>
    <row r="89" spans="1:6" x14ac:dyDescent="0.3">
      <c r="A89" s="15">
        <v>4</v>
      </c>
      <c r="B89" s="15">
        <v>2</v>
      </c>
      <c r="C89" s="15" t="s">
        <v>80</v>
      </c>
      <c r="D89" s="15" t="s">
        <v>0</v>
      </c>
      <c r="E89" s="15" t="s">
        <v>41</v>
      </c>
      <c r="F89" s="15" t="s">
        <v>74</v>
      </c>
    </row>
    <row r="90" spans="1:6" x14ac:dyDescent="0.3">
      <c r="A90" s="4">
        <v>4</v>
      </c>
      <c r="B90" s="4">
        <v>2</v>
      </c>
      <c r="C90" s="4" t="s">
        <v>80</v>
      </c>
      <c r="D90" s="4" t="s">
        <v>40</v>
      </c>
      <c r="E90" s="4" t="s">
        <v>9</v>
      </c>
      <c r="F90" s="4" t="s">
        <v>74</v>
      </c>
    </row>
    <row r="91" spans="1:6" x14ac:dyDescent="0.3">
      <c r="A91" s="15">
        <v>4</v>
      </c>
      <c r="B91" s="11">
        <v>1</v>
      </c>
      <c r="C91" s="11" t="s">
        <v>81</v>
      </c>
      <c r="D91" s="11" t="s">
        <v>29</v>
      </c>
      <c r="E91" s="15" t="s">
        <v>42</v>
      </c>
      <c r="F91" s="15" t="s">
        <v>61</v>
      </c>
    </row>
    <row r="92" spans="1:6" x14ac:dyDescent="0.3">
      <c r="A92" s="4">
        <v>4</v>
      </c>
      <c r="B92" s="4">
        <v>2</v>
      </c>
      <c r="C92" s="4" t="s">
        <v>80</v>
      </c>
      <c r="D92" s="4" t="s">
        <v>0</v>
      </c>
      <c r="E92" s="4" t="s">
        <v>41</v>
      </c>
      <c r="F92" s="4" t="s">
        <v>69</v>
      </c>
    </row>
    <row r="93" spans="1:6" x14ac:dyDescent="0.3">
      <c r="A93" s="15">
        <v>4</v>
      </c>
      <c r="B93" s="15">
        <v>1</v>
      </c>
      <c r="C93" s="15" t="s">
        <v>81</v>
      </c>
      <c r="D93" s="15" t="s">
        <v>40</v>
      </c>
      <c r="E93" s="15" t="s">
        <v>10</v>
      </c>
      <c r="F93" s="15" t="s">
        <v>69</v>
      </c>
    </row>
    <row r="94" spans="1:6" x14ac:dyDescent="0.3">
      <c r="A94" s="4">
        <v>4</v>
      </c>
      <c r="B94" s="4">
        <v>1</v>
      </c>
      <c r="C94" s="4" t="s">
        <v>81</v>
      </c>
      <c r="D94" s="4" t="s">
        <v>0</v>
      </c>
      <c r="E94" s="4" t="s">
        <v>41</v>
      </c>
      <c r="F94" s="4" t="s">
        <v>70</v>
      </c>
    </row>
    <row r="95" spans="1:6" x14ac:dyDescent="0.3">
      <c r="A95" s="15">
        <v>4</v>
      </c>
      <c r="B95" s="15">
        <v>1</v>
      </c>
      <c r="C95" s="15" t="s">
        <v>81</v>
      </c>
      <c r="D95" s="15" t="s">
        <v>40</v>
      </c>
      <c r="E95" s="15" t="s">
        <v>9</v>
      </c>
      <c r="F95" s="15" t="s">
        <v>70</v>
      </c>
    </row>
    <row r="96" spans="1:6" x14ac:dyDescent="0.3">
      <c r="A96" s="4">
        <v>4</v>
      </c>
      <c r="B96" s="11">
        <v>2</v>
      </c>
      <c r="C96" s="11" t="s">
        <v>80</v>
      </c>
      <c r="D96" s="11" t="s">
        <v>29</v>
      </c>
      <c r="E96" s="4" t="s">
        <v>42</v>
      </c>
      <c r="F96" s="4" t="s">
        <v>63</v>
      </c>
    </row>
    <row r="97" spans="1:11" x14ac:dyDescent="0.3">
      <c r="A97" s="15">
        <v>4</v>
      </c>
      <c r="B97" s="11">
        <v>1</v>
      </c>
      <c r="C97" s="11" t="s">
        <v>81</v>
      </c>
      <c r="D97" s="11" t="s">
        <v>29</v>
      </c>
      <c r="E97" s="15" t="s">
        <v>42</v>
      </c>
      <c r="F97" s="15" t="s">
        <v>60</v>
      </c>
    </row>
    <row r="98" spans="1:11" x14ac:dyDescent="0.3">
      <c r="A98" s="2" t="s">
        <v>25</v>
      </c>
      <c r="B98" s="2"/>
      <c r="C98" s="2"/>
      <c r="D98" s="2"/>
      <c r="E98" s="2"/>
      <c r="F98" s="2"/>
    </row>
    <row r="99" spans="1:11" x14ac:dyDescent="0.3">
      <c r="A99" s="12">
        <v>1</v>
      </c>
      <c r="B99" s="14">
        <v>2</v>
      </c>
      <c r="C99" s="13" t="s">
        <v>80</v>
      </c>
      <c r="D99" s="8" t="s">
        <v>29</v>
      </c>
      <c r="E99" s="15" t="s">
        <v>42</v>
      </c>
      <c r="F99" s="15" t="s">
        <v>69</v>
      </c>
    </row>
    <row r="100" spans="1:11" x14ac:dyDescent="0.3">
      <c r="A100" s="28">
        <v>1</v>
      </c>
      <c r="B100" s="27">
        <v>2</v>
      </c>
      <c r="C100" s="27" t="s">
        <v>80</v>
      </c>
      <c r="D100" s="27" t="s">
        <v>0</v>
      </c>
      <c r="E100" s="27" t="s">
        <v>41</v>
      </c>
      <c r="F100" s="27" t="s">
        <v>47</v>
      </c>
    </row>
    <row r="101" spans="1:11" x14ac:dyDescent="0.3">
      <c r="A101" s="12">
        <v>1</v>
      </c>
      <c r="B101" s="15">
        <v>2</v>
      </c>
      <c r="C101" s="15" t="s">
        <v>80</v>
      </c>
      <c r="D101" s="15" t="s">
        <v>40</v>
      </c>
      <c r="E101" s="15" t="s">
        <v>9</v>
      </c>
      <c r="F101" s="15" t="s">
        <v>47</v>
      </c>
    </row>
    <row r="102" spans="1:11" x14ac:dyDescent="0.3">
      <c r="A102" s="28">
        <v>1</v>
      </c>
      <c r="B102" s="14">
        <v>1</v>
      </c>
      <c r="C102" s="14" t="s">
        <v>81</v>
      </c>
      <c r="D102" s="8" t="s">
        <v>29</v>
      </c>
      <c r="E102" s="27" t="s">
        <v>42</v>
      </c>
      <c r="F102" s="27" t="s">
        <v>72</v>
      </c>
      <c r="K102" t="s">
        <v>19</v>
      </c>
    </row>
    <row r="103" spans="1:11" x14ac:dyDescent="0.3">
      <c r="A103" s="12">
        <v>1</v>
      </c>
      <c r="B103" s="14">
        <v>2</v>
      </c>
      <c r="C103" s="13" t="s">
        <v>80</v>
      </c>
      <c r="D103" s="8" t="s">
        <v>29</v>
      </c>
      <c r="E103" s="15" t="s">
        <v>42</v>
      </c>
      <c r="F103" s="15" t="s">
        <v>70</v>
      </c>
    </row>
    <row r="104" spans="1:11" x14ac:dyDescent="0.3">
      <c r="A104" s="28">
        <v>1</v>
      </c>
      <c r="B104" s="14">
        <v>1</v>
      </c>
      <c r="C104" s="14" t="s">
        <v>81</v>
      </c>
      <c r="D104" s="8" t="s">
        <v>29</v>
      </c>
      <c r="E104" s="27" t="s">
        <v>42</v>
      </c>
      <c r="F104" s="27" t="s">
        <v>74</v>
      </c>
    </row>
    <row r="105" spans="1:11" x14ac:dyDescent="0.3">
      <c r="A105" s="12">
        <v>1</v>
      </c>
      <c r="B105" s="15">
        <v>2</v>
      </c>
      <c r="C105" s="15" t="s">
        <v>80</v>
      </c>
      <c r="D105" s="15" t="s">
        <v>0</v>
      </c>
      <c r="E105" s="15" t="s">
        <v>41</v>
      </c>
      <c r="F105" s="15" t="s">
        <v>50</v>
      </c>
    </row>
    <row r="106" spans="1:11" x14ac:dyDescent="0.3">
      <c r="A106" s="28">
        <v>1</v>
      </c>
      <c r="B106" s="27">
        <v>2</v>
      </c>
      <c r="C106" s="15" t="s">
        <v>80</v>
      </c>
      <c r="D106" s="27" t="s">
        <v>40</v>
      </c>
      <c r="E106" s="27" t="s">
        <v>9</v>
      </c>
      <c r="F106" s="27" t="s">
        <v>50</v>
      </c>
    </row>
    <row r="107" spans="1:11" x14ac:dyDescent="0.3">
      <c r="A107" s="12">
        <v>1</v>
      </c>
      <c r="B107" s="15">
        <v>2</v>
      </c>
      <c r="C107" s="15" t="s">
        <v>80</v>
      </c>
      <c r="D107" s="15" t="s">
        <v>0</v>
      </c>
      <c r="E107" s="15" t="s">
        <v>41</v>
      </c>
      <c r="F107" s="15" t="s">
        <v>49</v>
      </c>
    </row>
    <row r="108" spans="1:11" x14ac:dyDescent="0.3">
      <c r="A108" s="28">
        <v>1</v>
      </c>
      <c r="B108" s="27">
        <v>1</v>
      </c>
      <c r="C108" s="27" t="s">
        <v>81</v>
      </c>
      <c r="D108" s="27" t="s">
        <v>40</v>
      </c>
      <c r="E108" s="27" t="s">
        <v>10</v>
      </c>
      <c r="F108" s="27" t="s">
        <v>49</v>
      </c>
    </row>
    <row r="109" spans="1:11" x14ac:dyDescent="0.3">
      <c r="A109" s="12">
        <v>1</v>
      </c>
      <c r="B109" s="14">
        <v>1</v>
      </c>
      <c r="C109" s="13" t="s">
        <v>81</v>
      </c>
      <c r="D109" s="8" t="s">
        <v>29</v>
      </c>
      <c r="E109" s="15" t="s">
        <v>42</v>
      </c>
      <c r="F109" s="15" t="s">
        <v>71</v>
      </c>
    </row>
    <row r="110" spans="1:11" x14ac:dyDescent="0.3">
      <c r="A110" s="28">
        <v>1</v>
      </c>
      <c r="B110" s="27">
        <v>1</v>
      </c>
      <c r="C110" s="27" t="s">
        <v>81</v>
      </c>
      <c r="D110" s="27" t="s">
        <v>0</v>
      </c>
      <c r="E110" s="27" t="s">
        <v>41</v>
      </c>
      <c r="F110" s="27" t="s">
        <v>45</v>
      </c>
    </row>
    <row r="111" spans="1:11" x14ac:dyDescent="0.3">
      <c r="A111" s="12">
        <v>1</v>
      </c>
      <c r="B111" s="15">
        <v>2</v>
      </c>
      <c r="C111" s="15" t="s">
        <v>80</v>
      </c>
      <c r="D111" s="15" t="s">
        <v>40</v>
      </c>
      <c r="E111" s="15" t="s">
        <v>10</v>
      </c>
      <c r="F111" s="15" t="s">
        <v>45</v>
      </c>
    </row>
    <row r="112" spans="1:11" x14ac:dyDescent="0.3">
      <c r="A112" s="28">
        <v>1</v>
      </c>
      <c r="B112" s="27">
        <v>2</v>
      </c>
      <c r="C112" s="27" t="s">
        <v>80</v>
      </c>
      <c r="D112" s="27" t="s">
        <v>0</v>
      </c>
      <c r="E112" s="27" t="s">
        <v>41</v>
      </c>
      <c r="F112" s="27" t="s">
        <v>44</v>
      </c>
    </row>
    <row r="113" spans="1:6" x14ac:dyDescent="0.3">
      <c r="A113" s="12">
        <v>1</v>
      </c>
      <c r="B113" s="15">
        <v>1</v>
      </c>
      <c r="C113" s="15" t="s">
        <v>81</v>
      </c>
      <c r="D113" s="15" t="s">
        <v>40</v>
      </c>
      <c r="E113" s="15" t="s">
        <v>10</v>
      </c>
      <c r="F113" s="15" t="s">
        <v>44</v>
      </c>
    </row>
    <row r="114" spans="1:6" x14ac:dyDescent="0.3">
      <c r="A114" s="28">
        <v>1</v>
      </c>
      <c r="B114" s="14">
        <v>2</v>
      </c>
      <c r="C114" s="14" t="s">
        <v>80</v>
      </c>
      <c r="D114" s="8" t="s">
        <v>29</v>
      </c>
      <c r="E114" s="27" t="s">
        <v>42</v>
      </c>
      <c r="F114" s="27" t="s">
        <v>68</v>
      </c>
    </row>
    <row r="115" spans="1:6" x14ac:dyDescent="0.3">
      <c r="A115" s="12">
        <v>1</v>
      </c>
      <c r="B115" s="15">
        <v>1</v>
      </c>
      <c r="C115" s="15" t="s">
        <v>81</v>
      </c>
      <c r="D115" s="15" t="s">
        <v>0</v>
      </c>
      <c r="E115" s="15" t="s">
        <v>41</v>
      </c>
      <c r="F115" s="15" t="s">
        <v>46</v>
      </c>
    </row>
    <row r="116" spans="1:6" x14ac:dyDescent="0.3">
      <c r="A116" s="28">
        <v>1</v>
      </c>
      <c r="B116" s="27">
        <v>1</v>
      </c>
      <c r="C116" s="15" t="s">
        <v>81</v>
      </c>
      <c r="D116" s="27" t="s">
        <v>40</v>
      </c>
      <c r="E116" s="27" t="s">
        <v>9</v>
      </c>
      <c r="F116" s="27" t="s">
        <v>46</v>
      </c>
    </row>
    <row r="117" spans="1:6" x14ac:dyDescent="0.3">
      <c r="A117" s="12">
        <v>1</v>
      </c>
      <c r="B117" s="14">
        <v>1</v>
      </c>
      <c r="C117" s="13" t="s">
        <v>81</v>
      </c>
      <c r="D117" s="8" t="s">
        <v>29</v>
      </c>
      <c r="E117" s="15" t="s">
        <v>42</v>
      </c>
      <c r="F117" s="15" t="s">
        <v>67</v>
      </c>
    </row>
    <row r="118" spans="1:6" x14ac:dyDescent="0.3">
      <c r="A118" s="28">
        <v>1</v>
      </c>
      <c r="B118" s="14">
        <v>2</v>
      </c>
      <c r="C118" s="14" t="s">
        <v>80</v>
      </c>
      <c r="D118" s="8" t="s">
        <v>29</v>
      </c>
      <c r="E118" s="27" t="s">
        <v>42</v>
      </c>
      <c r="F118" s="27" t="s">
        <v>73</v>
      </c>
    </row>
    <row r="119" spans="1:6" x14ac:dyDescent="0.3">
      <c r="A119" s="12">
        <v>1</v>
      </c>
      <c r="B119" s="15">
        <v>1</v>
      </c>
      <c r="C119" s="15" t="s">
        <v>81</v>
      </c>
      <c r="D119" s="15" t="s">
        <v>0</v>
      </c>
      <c r="E119" s="15" t="s">
        <v>41</v>
      </c>
      <c r="F119" s="15" t="s">
        <v>43</v>
      </c>
    </row>
    <row r="120" spans="1:6" x14ac:dyDescent="0.3">
      <c r="A120" s="28">
        <v>1</v>
      </c>
      <c r="B120" s="27">
        <v>1</v>
      </c>
      <c r="C120" s="15" t="s">
        <v>81</v>
      </c>
      <c r="D120" s="27" t="s">
        <v>40</v>
      </c>
      <c r="E120" s="27" t="s">
        <v>9</v>
      </c>
      <c r="F120" s="27" t="s">
        <v>43</v>
      </c>
    </row>
    <row r="121" spans="1:6" x14ac:dyDescent="0.3">
      <c r="A121" s="12">
        <v>1</v>
      </c>
      <c r="B121" s="15">
        <v>1</v>
      </c>
      <c r="C121" s="15" t="s">
        <v>81</v>
      </c>
      <c r="D121" s="15" t="s">
        <v>0</v>
      </c>
      <c r="E121" s="15" t="s">
        <v>41</v>
      </c>
      <c r="F121" s="15" t="s">
        <v>48</v>
      </c>
    </row>
    <row r="122" spans="1:6" x14ac:dyDescent="0.3">
      <c r="A122" s="28">
        <v>1</v>
      </c>
      <c r="B122" s="27">
        <v>2</v>
      </c>
      <c r="C122" s="27" t="s">
        <v>80</v>
      </c>
      <c r="D122" s="27" t="s">
        <v>40</v>
      </c>
      <c r="E122" s="27" t="s">
        <v>10</v>
      </c>
      <c r="F122" s="27" t="s">
        <v>48</v>
      </c>
    </row>
    <row r="123" spans="1:6" x14ac:dyDescent="0.3">
      <c r="A123" s="4">
        <v>2</v>
      </c>
      <c r="B123" s="4">
        <v>1</v>
      </c>
      <c r="C123" s="4" t="s">
        <v>81</v>
      </c>
      <c r="D123" s="4" t="s">
        <v>0</v>
      </c>
      <c r="E123" s="4" t="s">
        <v>41</v>
      </c>
      <c r="F123" s="4" t="s">
        <v>51</v>
      </c>
    </row>
    <row r="124" spans="1:6" x14ac:dyDescent="0.3">
      <c r="A124" s="15">
        <v>2</v>
      </c>
      <c r="B124" s="15">
        <v>1</v>
      </c>
      <c r="C124" s="15" t="s">
        <v>81</v>
      </c>
      <c r="D124" s="15" t="s">
        <v>40</v>
      </c>
      <c r="E124" s="15" t="s">
        <v>9</v>
      </c>
      <c r="F124" s="15" t="s">
        <v>51</v>
      </c>
    </row>
    <row r="125" spans="1:6" x14ac:dyDescent="0.3">
      <c r="A125" s="4">
        <v>2</v>
      </c>
      <c r="B125" s="9">
        <v>2</v>
      </c>
      <c r="C125" s="9" t="s">
        <v>80</v>
      </c>
      <c r="D125" s="9" t="s">
        <v>29</v>
      </c>
      <c r="E125" s="4" t="s">
        <v>42</v>
      </c>
      <c r="F125" s="4" t="s">
        <v>47</v>
      </c>
    </row>
    <row r="126" spans="1:6" x14ac:dyDescent="0.3">
      <c r="A126" s="15">
        <v>2</v>
      </c>
      <c r="B126" s="15">
        <v>1</v>
      </c>
      <c r="C126" s="15" t="s">
        <v>81</v>
      </c>
      <c r="D126" s="15" t="s">
        <v>0</v>
      </c>
      <c r="E126" s="15" t="s">
        <v>41</v>
      </c>
      <c r="F126" s="15" t="s">
        <v>55</v>
      </c>
    </row>
    <row r="127" spans="1:6" x14ac:dyDescent="0.3">
      <c r="A127" s="4">
        <v>2</v>
      </c>
      <c r="B127" s="4">
        <v>1</v>
      </c>
      <c r="C127" s="4" t="s">
        <v>81</v>
      </c>
      <c r="D127" s="4" t="s">
        <v>40</v>
      </c>
      <c r="E127" s="4" t="s">
        <v>9</v>
      </c>
      <c r="F127" s="4" t="s">
        <v>55</v>
      </c>
    </row>
    <row r="128" spans="1:6" x14ac:dyDescent="0.3">
      <c r="A128" s="15">
        <v>2</v>
      </c>
      <c r="B128" s="9">
        <v>2</v>
      </c>
      <c r="C128" s="9" t="s">
        <v>80</v>
      </c>
      <c r="D128" s="9" t="s">
        <v>29</v>
      </c>
      <c r="E128" s="15" t="s">
        <v>42</v>
      </c>
      <c r="F128" s="15" t="s">
        <v>50</v>
      </c>
    </row>
    <row r="129" spans="1:6" x14ac:dyDescent="0.3">
      <c r="A129" s="15">
        <v>2</v>
      </c>
      <c r="B129" s="15">
        <v>1</v>
      </c>
      <c r="C129" s="15" t="s">
        <v>81</v>
      </c>
      <c r="D129" s="15" t="s">
        <v>0</v>
      </c>
      <c r="E129" s="15" t="s">
        <v>41</v>
      </c>
      <c r="F129" s="15" t="s">
        <v>53</v>
      </c>
    </row>
    <row r="130" spans="1:6" x14ac:dyDescent="0.3">
      <c r="A130" s="27">
        <v>2</v>
      </c>
      <c r="B130" s="27">
        <v>1</v>
      </c>
      <c r="C130" s="27" t="s">
        <v>80</v>
      </c>
      <c r="D130" s="27" t="s">
        <v>40</v>
      </c>
      <c r="E130" s="27" t="s">
        <v>10</v>
      </c>
      <c r="F130" s="27" t="s">
        <v>53</v>
      </c>
    </row>
    <row r="131" spans="1:6" x14ac:dyDescent="0.3">
      <c r="A131" s="4">
        <v>2</v>
      </c>
      <c r="B131" s="4">
        <v>2</v>
      </c>
      <c r="C131" s="4" t="s">
        <v>80</v>
      </c>
      <c r="D131" s="4" t="s">
        <v>0</v>
      </c>
      <c r="E131" s="4" t="s">
        <v>41</v>
      </c>
      <c r="F131" s="4" t="s">
        <v>57</v>
      </c>
    </row>
    <row r="132" spans="1:6" x14ac:dyDescent="0.3">
      <c r="A132" s="15">
        <v>2</v>
      </c>
      <c r="B132" s="15">
        <v>1</v>
      </c>
      <c r="C132" s="15" t="s">
        <v>81</v>
      </c>
      <c r="D132" s="15" t="s">
        <v>40</v>
      </c>
      <c r="E132" s="15" t="s">
        <v>10</v>
      </c>
      <c r="F132" s="15" t="s">
        <v>57</v>
      </c>
    </row>
    <row r="133" spans="1:6" x14ac:dyDescent="0.3">
      <c r="A133" s="4">
        <v>2</v>
      </c>
      <c r="B133" s="9">
        <v>1</v>
      </c>
      <c r="C133" s="9" t="s">
        <v>81</v>
      </c>
      <c r="D133" s="9" t="s">
        <v>29</v>
      </c>
      <c r="E133" s="4" t="s">
        <v>42</v>
      </c>
      <c r="F133" s="4" t="s">
        <v>49</v>
      </c>
    </row>
    <row r="134" spans="1:6" x14ac:dyDescent="0.3">
      <c r="A134" s="15">
        <v>2</v>
      </c>
      <c r="B134" s="9">
        <v>2</v>
      </c>
      <c r="C134" s="9" t="s">
        <v>80</v>
      </c>
      <c r="D134" s="9" t="s">
        <v>29</v>
      </c>
      <c r="E134" s="15" t="s">
        <v>42</v>
      </c>
      <c r="F134" s="15" t="s">
        <v>45</v>
      </c>
    </row>
    <row r="135" spans="1:6" x14ac:dyDescent="0.3">
      <c r="A135" s="4">
        <v>2</v>
      </c>
      <c r="B135" s="9">
        <v>1</v>
      </c>
      <c r="C135" s="9" t="s">
        <v>81</v>
      </c>
      <c r="D135" s="9" t="s">
        <v>29</v>
      </c>
      <c r="E135" s="4" t="s">
        <v>42</v>
      </c>
      <c r="F135" s="4" t="s">
        <v>44</v>
      </c>
    </row>
    <row r="136" spans="1:6" x14ac:dyDescent="0.3">
      <c r="A136" s="15">
        <v>2</v>
      </c>
      <c r="B136" s="15">
        <v>1</v>
      </c>
      <c r="C136" s="15" t="s">
        <v>81</v>
      </c>
      <c r="D136" s="15" t="s">
        <v>0</v>
      </c>
      <c r="E136" s="15" t="s">
        <v>41</v>
      </c>
      <c r="F136" s="15" t="s">
        <v>52</v>
      </c>
    </row>
    <row r="137" spans="1:6" x14ac:dyDescent="0.3">
      <c r="A137" s="4">
        <v>2</v>
      </c>
      <c r="B137" s="4">
        <v>2</v>
      </c>
      <c r="C137" s="4" t="s">
        <v>80</v>
      </c>
      <c r="D137" s="4" t="s">
        <v>40</v>
      </c>
      <c r="E137" s="4" t="s">
        <v>10</v>
      </c>
      <c r="F137" s="4" t="s">
        <v>52</v>
      </c>
    </row>
    <row r="138" spans="1:6" x14ac:dyDescent="0.3">
      <c r="A138" s="15">
        <v>2</v>
      </c>
      <c r="B138" s="15">
        <v>2</v>
      </c>
      <c r="C138" s="15" t="s">
        <v>80</v>
      </c>
      <c r="D138" s="15" t="s">
        <v>0</v>
      </c>
      <c r="E138" s="15" t="s">
        <v>41</v>
      </c>
      <c r="F138" s="15" t="s">
        <v>56</v>
      </c>
    </row>
    <row r="139" spans="1:6" x14ac:dyDescent="0.3">
      <c r="A139" s="4">
        <v>2</v>
      </c>
      <c r="B139" s="4">
        <v>2</v>
      </c>
      <c r="C139" s="4" t="s">
        <v>80</v>
      </c>
      <c r="D139" s="4" t="s">
        <v>40</v>
      </c>
      <c r="E139" s="4" t="s">
        <v>9</v>
      </c>
      <c r="F139" s="4" t="s">
        <v>56</v>
      </c>
    </row>
    <row r="140" spans="1:6" x14ac:dyDescent="0.3">
      <c r="A140" s="15">
        <v>2</v>
      </c>
      <c r="B140" s="9">
        <v>1</v>
      </c>
      <c r="C140" s="9" t="s">
        <v>81</v>
      </c>
      <c r="D140" s="9" t="s">
        <v>29</v>
      </c>
      <c r="E140" s="15" t="s">
        <v>42</v>
      </c>
      <c r="F140" s="15" t="s">
        <v>46</v>
      </c>
    </row>
    <row r="141" spans="1:6" x14ac:dyDescent="0.3">
      <c r="A141" s="4">
        <v>2</v>
      </c>
      <c r="B141" s="4">
        <v>2</v>
      </c>
      <c r="C141" s="4" t="s">
        <v>80</v>
      </c>
      <c r="D141" s="4" t="s">
        <v>0</v>
      </c>
      <c r="E141" s="4" t="s">
        <v>41</v>
      </c>
      <c r="F141" s="4" t="s">
        <v>54</v>
      </c>
    </row>
    <row r="142" spans="1:6" x14ac:dyDescent="0.3">
      <c r="A142" s="15">
        <v>2</v>
      </c>
      <c r="B142" s="15">
        <v>2</v>
      </c>
      <c r="C142" s="15" t="s">
        <v>80</v>
      </c>
      <c r="D142" s="15" t="s">
        <v>40</v>
      </c>
      <c r="E142" s="15" t="s">
        <v>9</v>
      </c>
      <c r="F142" s="15" t="s">
        <v>54</v>
      </c>
    </row>
    <row r="143" spans="1:6" x14ac:dyDescent="0.3">
      <c r="A143" s="4">
        <v>2</v>
      </c>
      <c r="B143" s="9">
        <v>1</v>
      </c>
      <c r="C143" s="9" t="s">
        <v>81</v>
      </c>
      <c r="D143" s="9" t="s">
        <v>29</v>
      </c>
      <c r="E143" s="4" t="s">
        <v>42</v>
      </c>
      <c r="F143" s="4" t="s">
        <v>43</v>
      </c>
    </row>
    <row r="144" spans="1:6" x14ac:dyDescent="0.3">
      <c r="A144" s="15">
        <v>2</v>
      </c>
      <c r="B144" s="9">
        <v>2</v>
      </c>
      <c r="C144" s="9" t="s">
        <v>80</v>
      </c>
      <c r="D144" s="9" t="s">
        <v>29</v>
      </c>
      <c r="E144" s="15" t="s">
        <v>42</v>
      </c>
      <c r="F144" s="15" t="s">
        <v>48</v>
      </c>
    </row>
    <row r="145" spans="1:6" x14ac:dyDescent="0.3">
      <c r="A145" s="4">
        <v>2</v>
      </c>
      <c r="B145" s="4">
        <v>2</v>
      </c>
      <c r="C145" s="4" t="s">
        <v>80</v>
      </c>
      <c r="D145" s="4" t="s">
        <v>0</v>
      </c>
      <c r="E145" s="4" t="s">
        <v>41</v>
      </c>
      <c r="F145" s="4" t="s">
        <v>58</v>
      </c>
    </row>
    <row r="146" spans="1:6" x14ac:dyDescent="0.3">
      <c r="A146" s="15">
        <v>2</v>
      </c>
      <c r="B146" s="15">
        <v>1</v>
      </c>
      <c r="C146" s="15" t="s">
        <v>81</v>
      </c>
      <c r="D146" s="15" t="s">
        <v>40</v>
      </c>
      <c r="E146" s="15" t="s">
        <v>10</v>
      </c>
      <c r="F146" s="15" t="s">
        <v>58</v>
      </c>
    </row>
    <row r="147" spans="1:6" x14ac:dyDescent="0.3">
      <c r="A147" s="12">
        <v>3</v>
      </c>
      <c r="B147" s="15">
        <v>1</v>
      </c>
      <c r="C147" s="15" t="s">
        <v>81</v>
      </c>
      <c r="D147" s="15" t="s">
        <v>0</v>
      </c>
      <c r="E147" s="15" t="s">
        <v>41</v>
      </c>
      <c r="F147" s="15" t="s">
        <v>63</v>
      </c>
    </row>
    <row r="148" spans="1:6" x14ac:dyDescent="0.3">
      <c r="A148" s="28">
        <v>3</v>
      </c>
      <c r="B148" s="27">
        <v>2</v>
      </c>
      <c r="C148" s="27" t="s">
        <v>80</v>
      </c>
      <c r="D148" s="27" t="s">
        <v>40</v>
      </c>
      <c r="E148" s="27" t="s">
        <v>10</v>
      </c>
      <c r="F148" s="27" t="s">
        <v>63</v>
      </c>
    </row>
    <row r="149" spans="1:6" x14ac:dyDescent="0.3">
      <c r="A149" s="12">
        <v>3</v>
      </c>
      <c r="B149" s="15">
        <v>2</v>
      </c>
      <c r="C149" s="15" t="s">
        <v>80</v>
      </c>
      <c r="D149" s="15" t="s">
        <v>0</v>
      </c>
      <c r="E149" s="15" t="s">
        <v>41</v>
      </c>
      <c r="F149" s="15" t="s">
        <v>59</v>
      </c>
    </row>
    <row r="150" spans="1:6" x14ac:dyDescent="0.3">
      <c r="A150" s="28">
        <v>3</v>
      </c>
      <c r="B150" s="27">
        <v>1</v>
      </c>
      <c r="C150" s="27" t="s">
        <v>81</v>
      </c>
      <c r="D150" s="27" t="s">
        <v>40</v>
      </c>
      <c r="E150" s="27" t="s">
        <v>10</v>
      </c>
      <c r="F150" s="27" t="s">
        <v>59</v>
      </c>
    </row>
    <row r="151" spans="1:6" x14ac:dyDescent="0.3">
      <c r="A151" s="12">
        <v>3</v>
      </c>
      <c r="B151" s="10">
        <v>2</v>
      </c>
      <c r="C151" s="10" t="s">
        <v>80</v>
      </c>
      <c r="D151" s="10" t="s">
        <v>29</v>
      </c>
      <c r="E151" s="15" t="s">
        <v>42</v>
      </c>
      <c r="F151" s="15" t="s">
        <v>51</v>
      </c>
    </row>
    <row r="152" spans="1:6" x14ac:dyDescent="0.3">
      <c r="A152" s="28">
        <v>3</v>
      </c>
      <c r="B152" s="10">
        <v>1</v>
      </c>
      <c r="C152" s="10" t="s">
        <v>81</v>
      </c>
      <c r="D152" s="10" t="s">
        <v>29</v>
      </c>
      <c r="E152" s="27" t="s">
        <v>42</v>
      </c>
      <c r="F152" s="27" t="s">
        <v>55</v>
      </c>
    </row>
    <row r="153" spans="1:6" x14ac:dyDescent="0.3">
      <c r="A153" s="12">
        <v>3</v>
      </c>
      <c r="B153" s="15">
        <v>1</v>
      </c>
      <c r="C153" s="15" t="s">
        <v>81</v>
      </c>
      <c r="D153" s="15" t="s">
        <v>0</v>
      </c>
      <c r="E153" s="15" t="s">
        <v>41</v>
      </c>
      <c r="F153" s="15" t="s">
        <v>65</v>
      </c>
    </row>
    <row r="154" spans="1:6" x14ac:dyDescent="0.3">
      <c r="A154" s="28">
        <v>3</v>
      </c>
      <c r="B154" s="27">
        <v>2</v>
      </c>
      <c r="C154" s="27" t="s">
        <v>80</v>
      </c>
      <c r="D154" s="27" t="s">
        <v>40</v>
      </c>
      <c r="E154" s="27" t="s">
        <v>10</v>
      </c>
      <c r="F154" s="27" t="s">
        <v>65</v>
      </c>
    </row>
    <row r="155" spans="1:6" x14ac:dyDescent="0.3">
      <c r="A155" s="12">
        <v>3</v>
      </c>
      <c r="B155" s="10">
        <v>1</v>
      </c>
      <c r="C155" s="10" t="s">
        <v>81</v>
      </c>
      <c r="D155" s="10" t="s">
        <v>29</v>
      </c>
      <c r="E155" s="15" t="s">
        <v>42</v>
      </c>
      <c r="F155" s="15" t="s">
        <v>53</v>
      </c>
    </row>
    <row r="156" spans="1:6" x14ac:dyDescent="0.3">
      <c r="A156" s="28">
        <v>3</v>
      </c>
      <c r="B156" s="27">
        <v>2</v>
      </c>
      <c r="C156" s="27" t="s">
        <v>80</v>
      </c>
      <c r="D156" s="27" t="s">
        <v>0</v>
      </c>
      <c r="E156" s="27" t="s">
        <v>41</v>
      </c>
      <c r="F156" s="27" t="s">
        <v>61</v>
      </c>
    </row>
    <row r="157" spans="1:6" x14ac:dyDescent="0.3">
      <c r="A157" s="12">
        <v>3</v>
      </c>
      <c r="B157" s="15">
        <v>2</v>
      </c>
      <c r="C157" s="15" t="s">
        <v>80</v>
      </c>
      <c r="D157" s="15" t="s">
        <v>40</v>
      </c>
      <c r="E157" s="15" t="s">
        <v>9</v>
      </c>
      <c r="F157" s="15" t="s">
        <v>61</v>
      </c>
    </row>
    <row r="158" spans="1:6" x14ac:dyDescent="0.3">
      <c r="A158" s="28">
        <v>3</v>
      </c>
      <c r="B158" s="10">
        <v>1</v>
      </c>
      <c r="C158" s="10" t="s">
        <v>81</v>
      </c>
      <c r="D158" s="10" t="s">
        <v>29</v>
      </c>
      <c r="E158" s="27" t="s">
        <v>42</v>
      </c>
      <c r="F158" s="27" t="s">
        <v>57</v>
      </c>
    </row>
    <row r="159" spans="1:6" x14ac:dyDescent="0.3">
      <c r="A159" s="12">
        <v>3</v>
      </c>
      <c r="B159" s="10">
        <v>1</v>
      </c>
      <c r="C159" s="10" t="s">
        <v>81</v>
      </c>
      <c r="D159" s="10" t="s">
        <v>29</v>
      </c>
      <c r="E159" s="15" t="s">
        <v>42</v>
      </c>
      <c r="F159" s="15" t="s">
        <v>52</v>
      </c>
    </row>
    <row r="160" spans="1:6" x14ac:dyDescent="0.3">
      <c r="A160" s="28">
        <v>3</v>
      </c>
      <c r="B160" s="27">
        <v>2</v>
      </c>
      <c r="C160" s="27" t="s">
        <v>80</v>
      </c>
      <c r="D160" s="27" t="s">
        <v>0</v>
      </c>
      <c r="E160" s="27" t="s">
        <v>41</v>
      </c>
      <c r="F160" s="27" t="s">
        <v>60</v>
      </c>
    </row>
    <row r="161" spans="1:6" x14ac:dyDescent="0.3">
      <c r="A161" s="12">
        <v>3</v>
      </c>
      <c r="B161" s="15">
        <v>2</v>
      </c>
      <c r="C161" s="15" t="s">
        <v>80</v>
      </c>
      <c r="D161" s="15" t="s">
        <v>40</v>
      </c>
      <c r="E161" s="15" t="s">
        <v>9</v>
      </c>
      <c r="F161" s="15" t="s">
        <v>60</v>
      </c>
    </row>
    <row r="162" spans="1:6" x14ac:dyDescent="0.3">
      <c r="A162" s="28">
        <v>3</v>
      </c>
      <c r="B162" s="27">
        <v>2</v>
      </c>
      <c r="C162" s="27" t="s">
        <v>80</v>
      </c>
      <c r="D162" s="27" t="s">
        <v>0</v>
      </c>
      <c r="E162" s="27" t="s">
        <v>41</v>
      </c>
      <c r="F162" s="27" t="s">
        <v>66</v>
      </c>
    </row>
    <row r="163" spans="1:6" x14ac:dyDescent="0.3">
      <c r="A163" s="12">
        <v>3</v>
      </c>
      <c r="B163" s="15">
        <v>1</v>
      </c>
      <c r="C163" s="15" t="s">
        <v>81</v>
      </c>
      <c r="D163" s="15" t="s">
        <v>40</v>
      </c>
      <c r="E163" s="15" t="s">
        <v>10</v>
      </c>
      <c r="F163" s="15" t="s">
        <v>66</v>
      </c>
    </row>
    <row r="164" spans="1:6" x14ac:dyDescent="0.3">
      <c r="A164" s="28">
        <v>3</v>
      </c>
      <c r="B164" s="10">
        <v>2</v>
      </c>
      <c r="C164" s="10" t="s">
        <v>80</v>
      </c>
      <c r="D164" s="10" t="s">
        <v>29</v>
      </c>
      <c r="E164" s="27" t="s">
        <v>42</v>
      </c>
      <c r="F164" s="27" t="s">
        <v>56</v>
      </c>
    </row>
    <row r="165" spans="1:6" x14ac:dyDescent="0.3">
      <c r="A165" s="12">
        <v>3</v>
      </c>
      <c r="B165" s="10">
        <v>2</v>
      </c>
      <c r="C165" s="10" t="s">
        <v>80</v>
      </c>
      <c r="D165" s="10" t="s">
        <v>29</v>
      </c>
      <c r="E165" s="15" t="s">
        <v>42</v>
      </c>
      <c r="F165" s="15" t="s">
        <v>54</v>
      </c>
    </row>
    <row r="166" spans="1:6" x14ac:dyDescent="0.3">
      <c r="A166" s="28">
        <v>3</v>
      </c>
      <c r="B166" s="27">
        <v>1</v>
      </c>
      <c r="C166" s="27" t="s">
        <v>81</v>
      </c>
      <c r="D166" s="27" t="s">
        <v>0</v>
      </c>
      <c r="E166" s="27" t="s">
        <v>41</v>
      </c>
      <c r="F166" s="27" t="s">
        <v>64</v>
      </c>
    </row>
    <row r="167" spans="1:6" x14ac:dyDescent="0.3">
      <c r="A167" s="12">
        <v>3</v>
      </c>
      <c r="B167" s="15">
        <v>1</v>
      </c>
      <c r="C167" s="15" t="s">
        <v>81</v>
      </c>
      <c r="D167" s="15" t="s">
        <v>40</v>
      </c>
      <c r="E167" s="15" t="s">
        <v>9</v>
      </c>
      <c r="F167" s="15" t="s">
        <v>64</v>
      </c>
    </row>
    <row r="168" spans="1:6" x14ac:dyDescent="0.3">
      <c r="A168" s="28">
        <v>3</v>
      </c>
      <c r="B168" s="10">
        <v>2</v>
      </c>
      <c r="C168" s="10" t="s">
        <v>80</v>
      </c>
      <c r="D168" s="10" t="s">
        <v>29</v>
      </c>
      <c r="E168" s="27" t="s">
        <v>42</v>
      </c>
      <c r="F168" s="27" t="s">
        <v>58</v>
      </c>
    </row>
    <row r="169" spans="1:6" x14ac:dyDescent="0.3">
      <c r="A169" s="12">
        <v>3</v>
      </c>
      <c r="B169" s="15">
        <v>1</v>
      </c>
      <c r="C169" s="15" t="s">
        <v>81</v>
      </c>
      <c r="D169" s="15" t="s">
        <v>0</v>
      </c>
      <c r="E169" s="15" t="s">
        <v>41</v>
      </c>
      <c r="F169" s="15" t="s">
        <v>62</v>
      </c>
    </row>
    <row r="170" spans="1:6" x14ac:dyDescent="0.3">
      <c r="A170" s="28">
        <v>3</v>
      </c>
      <c r="B170" s="27">
        <v>1</v>
      </c>
      <c r="C170" s="27" t="s">
        <v>81</v>
      </c>
      <c r="D170" s="27" t="s">
        <v>40</v>
      </c>
      <c r="E170" s="27" t="s">
        <v>9</v>
      </c>
      <c r="F170" s="27" t="s">
        <v>62</v>
      </c>
    </row>
    <row r="171" spans="1:6" x14ac:dyDescent="0.3">
      <c r="A171" s="4">
        <v>4</v>
      </c>
      <c r="B171" s="11">
        <v>2</v>
      </c>
      <c r="C171" s="11" t="s">
        <v>80</v>
      </c>
      <c r="D171" s="11" t="s">
        <v>29</v>
      </c>
      <c r="E171" s="4" t="s">
        <v>42</v>
      </c>
      <c r="F171" s="4" t="s">
        <v>63</v>
      </c>
    </row>
    <row r="172" spans="1:6" x14ac:dyDescent="0.3">
      <c r="A172" s="15">
        <v>4</v>
      </c>
      <c r="B172" s="11">
        <v>2</v>
      </c>
      <c r="C172" s="11" t="s">
        <v>80</v>
      </c>
      <c r="D172" s="11" t="s">
        <v>29</v>
      </c>
      <c r="E172" s="15" t="s">
        <v>42</v>
      </c>
      <c r="F172" s="15" t="s">
        <v>59</v>
      </c>
    </row>
    <row r="173" spans="1:6" x14ac:dyDescent="0.3">
      <c r="A173" s="4">
        <v>4</v>
      </c>
      <c r="B173" s="4">
        <v>1</v>
      </c>
      <c r="C173" s="4" t="s">
        <v>81</v>
      </c>
      <c r="D173" s="4" t="s">
        <v>0</v>
      </c>
      <c r="E173" s="4" t="s">
        <v>41</v>
      </c>
      <c r="F173" s="4" t="s">
        <v>69</v>
      </c>
    </row>
    <row r="174" spans="1:6" x14ac:dyDescent="0.3">
      <c r="A174" s="15">
        <v>4</v>
      </c>
      <c r="B174" s="15">
        <v>1</v>
      </c>
      <c r="C174" s="15" t="s">
        <v>81</v>
      </c>
      <c r="D174" s="15" t="s">
        <v>40</v>
      </c>
      <c r="E174" s="15" t="s">
        <v>9</v>
      </c>
      <c r="F174" s="15" t="s">
        <v>69</v>
      </c>
    </row>
    <row r="175" spans="1:6" x14ac:dyDescent="0.3">
      <c r="A175" s="4">
        <v>4</v>
      </c>
      <c r="B175" s="4">
        <v>1</v>
      </c>
      <c r="C175" s="4" t="s">
        <v>81</v>
      </c>
      <c r="D175" s="4" t="s">
        <v>0</v>
      </c>
      <c r="E175" s="4" t="s">
        <v>41</v>
      </c>
      <c r="F175" s="4" t="s">
        <v>72</v>
      </c>
    </row>
    <row r="176" spans="1:6" x14ac:dyDescent="0.3">
      <c r="A176" s="15">
        <v>4</v>
      </c>
      <c r="B176" s="15">
        <v>2</v>
      </c>
      <c r="C176" s="15" t="s">
        <v>80</v>
      </c>
      <c r="D176" s="15" t="s">
        <v>40</v>
      </c>
      <c r="E176" s="15" t="s">
        <v>10</v>
      </c>
      <c r="F176" s="15" t="s">
        <v>72</v>
      </c>
    </row>
    <row r="177" spans="1:6" x14ac:dyDescent="0.3">
      <c r="A177" s="4">
        <v>4</v>
      </c>
      <c r="B177" s="11">
        <v>1</v>
      </c>
      <c r="C177" s="11" t="s">
        <v>81</v>
      </c>
      <c r="D177" s="11" t="s">
        <v>29</v>
      </c>
      <c r="E177" s="4" t="s">
        <v>42</v>
      </c>
      <c r="F177" s="4" t="s">
        <v>65</v>
      </c>
    </row>
    <row r="178" spans="1:6" x14ac:dyDescent="0.3">
      <c r="A178" s="15">
        <v>4</v>
      </c>
      <c r="B178" s="15">
        <v>2</v>
      </c>
      <c r="C178" s="15" t="s">
        <v>80</v>
      </c>
      <c r="D178" s="15" t="s">
        <v>0</v>
      </c>
      <c r="E178" s="15" t="s">
        <v>41</v>
      </c>
      <c r="F178" s="15" t="s">
        <v>70</v>
      </c>
    </row>
    <row r="179" spans="1:6" x14ac:dyDescent="0.3">
      <c r="A179" s="4">
        <v>4</v>
      </c>
      <c r="B179" s="4">
        <v>2</v>
      </c>
      <c r="C179" s="4" t="s">
        <v>80</v>
      </c>
      <c r="D179" s="4" t="s">
        <v>40</v>
      </c>
      <c r="E179" s="4" t="s">
        <v>9</v>
      </c>
      <c r="F179" s="4" t="s">
        <v>70</v>
      </c>
    </row>
    <row r="180" spans="1:6" x14ac:dyDescent="0.3">
      <c r="A180" s="15">
        <v>4</v>
      </c>
      <c r="B180" s="15">
        <v>2</v>
      </c>
      <c r="C180" s="15" t="s">
        <v>80</v>
      </c>
      <c r="D180" s="15" t="s">
        <v>0</v>
      </c>
      <c r="E180" s="15" t="s">
        <v>41</v>
      </c>
      <c r="F180" s="15" t="s">
        <v>74</v>
      </c>
    </row>
    <row r="181" spans="1:6" x14ac:dyDescent="0.3">
      <c r="A181" s="4">
        <v>4</v>
      </c>
      <c r="B181" s="4">
        <v>1</v>
      </c>
      <c r="C181" s="4" t="s">
        <v>81</v>
      </c>
      <c r="D181" s="4" t="s">
        <v>40</v>
      </c>
      <c r="E181" s="4" t="s">
        <v>10</v>
      </c>
      <c r="F181" s="4" t="s">
        <v>74</v>
      </c>
    </row>
    <row r="182" spans="1:6" x14ac:dyDescent="0.3">
      <c r="A182" s="15">
        <v>4</v>
      </c>
      <c r="B182" s="11">
        <v>2</v>
      </c>
      <c r="C182" s="11" t="s">
        <v>80</v>
      </c>
      <c r="D182" s="11" t="s">
        <v>29</v>
      </c>
      <c r="E182" s="15" t="s">
        <v>42</v>
      </c>
      <c r="F182" s="15" t="s">
        <v>61</v>
      </c>
    </row>
    <row r="183" spans="1:6" x14ac:dyDescent="0.3">
      <c r="A183" s="4">
        <v>4</v>
      </c>
      <c r="B183" s="4">
        <v>1</v>
      </c>
      <c r="C183" s="4" t="s">
        <v>81</v>
      </c>
      <c r="D183" s="4" t="s">
        <v>0</v>
      </c>
      <c r="E183" s="4" t="s">
        <v>41</v>
      </c>
      <c r="F183" s="4" t="s">
        <v>71</v>
      </c>
    </row>
    <row r="184" spans="1:6" x14ac:dyDescent="0.3">
      <c r="A184" s="15">
        <v>4</v>
      </c>
      <c r="B184" s="15">
        <v>2</v>
      </c>
      <c r="C184" s="15" t="s">
        <v>80</v>
      </c>
      <c r="D184" s="15" t="s">
        <v>40</v>
      </c>
      <c r="E184" s="15" t="s">
        <v>10</v>
      </c>
      <c r="F184" s="15" t="s">
        <v>71</v>
      </c>
    </row>
    <row r="185" spans="1:6" x14ac:dyDescent="0.3">
      <c r="A185" s="4">
        <v>4</v>
      </c>
      <c r="B185" s="4">
        <v>2</v>
      </c>
      <c r="C185" s="4" t="s">
        <v>80</v>
      </c>
      <c r="D185" s="4" t="s">
        <v>0</v>
      </c>
      <c r="E185" s="4" t="s">
        <v>41</v>
      </c>
      <c r="F185" s="4" t="s">
        <v>68</v>
      </c>
    </row>
    <row r="186" spans="1:6" x14ac:dyDescent="0.3">
      <c r="A186" s="15">
        <v>4</v>
      </c>
      <c r="B186" s="15">
        <v>2</v>
      </c>
      <c r="C186" s="15" t="s">
        <v>80</v>
      </c>
      <c r="D186" s="15" t="s">
        <v>40</v>
      </c>
      <c r="E186" s="15" t="s">
        <v>9</v>
      </c>
      <c r="F186" s="15" t="s">
        <v>68</v>
      </c>
    </row>
    <row r="187" spans="1:6" x14ac:dyDescent="0.3">
      <c r="A187" s="15">
        <v>4</v>
      </c>
      <c r="B187" s="11">
        <v>1</v>
      </c>
      <c r="C187" s="11" t="s">
        <v>81</v>
      </c>
      <c r="D187" s="11" t="s">
        <v>29</v>
      </c>
      <c r="E187" s="15" t="s">
        <v>42</v>
      </c>
      <c r="F187" s="15" t="s">
        <v>60</v>
      </c>
    </row>
    <row r="188" spans="1:6" x14ac:dyDescent="0.3">
      <c r="A188" s="4">
        <v>4</v>
      </c>
      <c r="B188" s="11">
        <v>1</v>
      </c>
      <c r="C188" s="11" t="s">
        <v>81</v>
      </c>
      <c r="D188" s="11" t="s">
        <v>29</v>
      </c>
      <c r="E188" s="4" t="s">
        <v>42</v>
      </c>
      <c r="F188" s="4" t="s">
        <v>66</v>
      </c>
    </row>
    <row r="189" spans="1:6" x14ac:dyDescent="0.3">
      <c r="A189" s="4">
        <v>4</v>
      </c>
      <c r="B189" s="4">
        <v>2</v>
      </c>
      <c r="C189" s="4" t="s">
        <v>80</v>
      </c>
      <c r="D189" s="4" t="s">
        <v>0</v>
      </c>
      <c r="E189" s="4" t="s">
        <v>41</v>
      </c>
      <c r="F189" s="4" t="s">
        <v>67</v>
      </c>
    </row>
    <row r="190" spans="1:6" x14ac:dyDescent="0.3">
      <c r="A190" s="15">
        <v>4</v>
      </c>
      <c r="B190" s="15">
        <v>1</v>
      </c>
      <c r="C190" s="15" t="s">
        <v>81</v>
      </c>
      <c r="D190" s="15" t="s">
        <v>40</v>
      </c>
      <c r="E190" s="15" t="s">
        <v>10</v>
      </c>
      <c r="F190" s="15" t="s">
        <v>67</v>
      </c>
    </row>
    <row r="191" spans="1:6" x14ac:dyDescent="0.3">
      <c r="A191" s="4">
        <v>4</v>
      </c>
      <c r="B191" s="4">
        <v>1</v>
      </c>
      <c r="C191" s="4" t="s">
        <v>81</v>
      </c>
      <c r="D191" s="4" t="s">
        <v>0</v>
      </c>
      <c r="E191" s="4" t="s">
        <v>41</v>
      </c>
      <c r="F191" s="4" t="s">
        <v>73</v>
      </c>
    </row>
    <row r="192" spans="1:6" x14ac:dyDescent="0.3">
      <c r="A192" s="15">
        <v>4</v>
      </c>
      <c r="B192" s="15">
        <v>1</v>
      </c>
      <c r="C192" s="15" t="s">
        <v>81</v>
      </c>
      <c r="D192" s="15" t="s">
        <v>40</v>
      </c>
      <c r="E192" s="15" t="s">
        <v>9</v>
      </c>
      <c r="F192" s="15" t="s">
        <v>73</v>
      </c>
    </row>
    <row r="193" spans="1:6" x14ac:dyDescent="0.3">
      <c r="A193" s="4">
        <v>4</v>
      </c>
      <c r="B193" s="11">
        <v>2</v>
      </c>
      <c r="C193" s="11" t="s">
        <v>80</v>
      </c>
      <c r="D193" s="11" t="s">
        <v>29</v>
      </c>
      <c r="E193" s="4" t="s">
        <v>42</v>
      </c>
      <c r="F193" s="4" t="s">
        <v>64</v>
      </c>
    </row>
    <row r="194" spans="1:6" x14ac:dyDescent="0.3">
      <c r="A194" s="30">
        <v>4</v>
      </c>
      <c r="B194" s="31">
        <v>1</v>
      </c>
      <c r="C194" s="31" t="s">
        <v>81</v>
      </c>
      <c r="D194" s="31" t="s">
        <v>29</v>
      </c>
      <c r="E194" s="30" t="s">
        <v>42</v>
      </c>
      <c r="F194" s="30" t="s">
        <v>62</v>
      </c>
    </row>
    <row r="195" spans="1:6" x14ac:dyDescent="0.3">
      <c r="A195" s="2" t="s">
        <v>25</v>
      </c>
      <c r="B195" s="2"/>
      <c r="C195" s="2"/>
      <c r="D195" s="2"/>
      <c r="E195" s="2"/>
      <c r="F195" s="2"/>
    </row>
    <row r="196" spans="1:6" x14ac:dyDescent="0.3">
      <c r="A196" s="12">
        <v>1</v>
      </c>
      <c r="B196" s="12">
        <v>2</v>
      </c>
      <c r="C196" s="12" t="s">
        <v>80</v>
      </c>
      <c r="D196" s="15" t="s">
        <v>0</v>
      </c>
      <c r="E196" s="15" t="s">
        <v>41</v>
      </c>
      <c r="F196" s="15" t="s">
        <v>43</v>
      </c>
    </row>
    <row r="197" spans="1:6" x14ac:dyDescent="0.3">
      <c r="A197" s="7">
        <v>1</v>
      </c>
      <c r="B197" s="7">
        <v>2</v>
      </c>
      <c r="C197" s="7" t="s">
        <v>80</v>
      </c>
      <c r="D197" s="4" t="s">
        <v>40</v>
      </c>
      <c r="E197" s="4" t="s">
        <v>9</v>
      </c>
      <c r="F197" s="4" t="s">
        <v>43</v>
      </c>
    </row>
    <row r="198" spans="1:6" x14ac:dyDescent="0.3">
      <c r="A198" s="12">
        <v>1</v>
      </c>
      <c r="B198" s="14">
        <v>1</v>
      </c>
      <c r="C198" s="13" t="s">
        <v>81</v>
      </c>
      <c r="D198" s="8" t="s">
        <v>29</v>
      </c>
      <c r="E198" s="15" t="s">
        <v>42</v>
      </c>
      <c r="F198" s="15" t="s">
        <v>74</v>
      </c>
    </row>
    <row r="199" spans="1:6" x14ac:dyDescent="0.3">
      <c r="A199" s="7">
        <v>1</v>
      </c>
      <c r="B199" s="7">
        <v>2</v>
      </c>
      <c r="C199" s="7" t="s">
        <v>80</v>
      </c>
      <c r="D199" s="4" t="s">
        <v>0</v>
      </c>
      <c r="E199" s="4" t="s">
        <v>41</v>
      </c>
      <c r="F199" s="4" t="s">
        <v>44</v>
      </c>
    </row>
    <row r="200" spans="1:6" x14ac:dyDescent="0.3">
      <c r="A200" s="12">
        <v>1</v>
      </c>
      <c r="B200" s="12">
        <v>2</v>
      </c>
      <c r="C200" s="12" t="s">
        <v>80</v>
      </c>
      <c r="D200" s="15" t="s">
        <v>40</v>
      </c>
      <c r="E200" s="15" t="s">
        <v>9</v>
      </c>
      <c r="F200" s="15" t="s">
        <v>44</v>
      </c>
    </row>
    <row r="201" spans="1:6" x14ac:dyDescent="0.3">
      <c r="A201" s="7">
        <v>1</v>
      </c>
      <c r="B201" s="14">
        <v>1</v>
      </c>
      <c r="C201" s="14" t="s">
        <v>81</v>
      </c>
      <c r="D201" s="8" t="s">
        <v>29</v>
      </c>
      <c r="E201" s="4" t="s">
        <v>42</v>
      </c>
      <c r="F201" s="4" t="s">
        <v>73</v>
      </c>
    </row>
    <row r="202" spans="1:6" x14ac:dyDescent="0.3">
      <c r="A202" s="12">
        <v>1</v>
      </c>
      <c r="B202" s="12">
        <v>2</v>
      </c>
      <c r="C202" s="12" t="s">
        <v>80</v>
      </c>
      <c r="D202" s="15" t="s">
        <v>0</v>
      </c>
      <c r="E202" s="15" t="s">
        <v>41</v>
      </c>
      <c r="F202" s="15" t="s">
        <v>45</v>
      </c>
    </row>
    <row r="203" spans="1:6" x14ac:dyDescent="0.3">
      <c r="A203" s="7">
        <v>1</v>
      </c>
      <c r="B203" s="7">
        <v>1</v>
      </c>
      <c r="C203" s="7" t="s">
        <v>81</v>
      </c>
      <c r="D203" s="4" t="s">
        <v>40</v>
      </c>
      <c r="E203" s="4" t="s">
        <v>10</v>
      </c>
      <c r="F203" s="4" t="s">
        <v>45</v>
      </c>
    </row>
    <row r="204" spans="1:6" x14ac:dyDescent="0.3">
      <c r="A204" s="12">
        <v>1</v>
      </c>
      <c r="B204" s="12">
        <v>1</v>
      </c>
      <c r="C204" s="12" t="s">
        <v>81</v>
      </c>
      <c r="D204" s="15" t="s">
        <v>0</v>
      </c>
      <c r="E204" s="15" t="s">
        <v>41</v>
      </c>
      <c r="F204" s="15" t="s">
        <v>46</v>
      </c>
    </row>
    <row r="205" spans="1:6" x14ac:dyDescent="0.3">
      <c r="A205" s="7">
        <v>1</v>
      </c>
      <c r="B205" s="7">
        <v>2</v>
      </c>
      <c r="C205" s="7" t="s">
        <v>80</v>
      </c>
      <c r="D205" s="4" t="s">
        <v>40</v>
      </c>
      <c r="E205" s="4" t="s">
        <v>10</v>
      </c>
      <c r="F205" s="4" t="s">
        <v>46</v>
      </c>
    </row>
    <row r="206" spans="1:6" x14ac:dyDescent="0.3">
      <c r="A206" s="12">
        <v>1</v>
      </c>
      <c r="B206" s="14">
        <v>2</v>
      </c>
      <c r="C206" s="13" t="s">
        <v>80</v>
      </c>
      <c r="D206" s="8" t="s">
        <v>29</v>
      </c>
      <c r="E206" s="15" t="s">
        <v>42</v>
      </c>
      <c r="F206" s="15" t="s">
        <v>72</v>
      </c>
    </row>
    <row r="207" spans="1:6" x14ac:dyDescent="0.3">
      <c r="A207" s="7">
        <v>1</v>
      </c>
      <c r="B207" s="7">
        <v>2</v>
      </c>
      <c r="C207" s="7" t="s">
        <v>80</v>
      </c>
      <c r="D207" s="4" t="s">
        <v>0</v>
      </c>
      <c r="E207" s="4" t="s">
        <v>41</v>
      </c>
      <c r="F207" s="4" t="s">
        <v>47</v>
      </c>
    </row>
    <row r="208" spans="1:6" x14ac:dyDescent="0.3">
      <c r="A208" s="12">
        <v>1</v>
      </c>
      <c r="B208" s="12">
        <v>1</v>
      </c>
      <c r="C208" s="12" t="s">
        <v>81</v>
      </c>
      <c r="D208" s="15" t="s">
        <v>40</v>
      </c>
      <c r="E208" s="15" t="s">
        <v>10</v>
      </c>
      <c r="F208" s="15" t="s">
        <v>47</v>
      </c>
    </row>
    <row r="209" spans="1:6" x14ac:dyDescent="0.3">
      <c r="A209" s="7">
        <v>1</v>
      </c>
      <c r="B209" s="14">
        <v>2</v>
      </c>
      <c r="C209" s="14" t="s">
        <v>80</v>
      </c>
      <c r="D209" s="8" t="s">
        <v>29</v>
      </c>
      <c r="E209" s="4" t="s">
        <v>42</v>
      </c>
      <c r="F209" s="4" t="s">
        <v>71</v>
      </c>
    </row>
    <row r="210" spans="1:6" x14ac:dyDescent="0.3">
      <c r="A210" s="12">
        <v>1</v>
      </c>
      <c r="B210" s="12">
        <v>1</v>
      </c>
      <c r="C210" s="12" t="s">
        <v>81</v>
      </c>
      <c r="D210" s="15" t="s">
        <v>0</v>
      </c>
      <c r="E210" s="15" t="s">
        <v>41</v>
      </c>
      <c r="F210" s="15" t="s">
        <v>48</v>
      </c>
    </row>
    <row r="211" spans="1:6" x14ac:dyDescent="0.3">
      <c r="A211" s="7">
        <v>1</v>
      </c>
      <c r="B211" s="7">
        <v>1</v>
      </c>
      <c r="C211" s="7" t="s">
        <v>81</v>
      </c>
      <c r="D211" s="4" t="s">
        <v>40</v>
      </c>
      <c r="E211" s="4" t="s">
        <v>9</v>
      </c>
      <c r="F211" s="4" t="s">
        <v>48</v>
      </c>
    </row>
    <row r="212" spans="1:6" x14ac:dyDescent="0.3">
      <c r="A212" s="12">
        <v>1</v>
      </c>
      <c r="B212" s="14">
        <v>2</v>
      </c>
      <c r="C212" s="13" t="s">
        <v>80</v>
      </c>
      <c r="D212" s="8" t="s">
        <v>29</v>
      </c>
      <c r="E212" s="15" t="s">
        <v>42</v>
      </c>
      <c r="F212" s="15" t="s">
        <v>70</v>
      </c>
    </row>
    <row r="213" spans="1:6" x14ac:dyDescent="0.3">
      <c r="A213" s="7">
        <v>1</v>
      </c>
      <c r="B213" s="7">
        <v>1</v>
      </c>
      <c r="C213" s="7" t="s">
        <v>81</v>
      </c>
      <c r="D213" s="4" t="s">
        <v>0</v>
      </c>
      <c r="E213" s="4" t="s">
        <v>41</v>
      </c>
      <c r="F213" s="4" t="s">
        <v>49</v>
      </c>
    </row>
    <row r="214" spans="1:6" x14ac:dyDescent="0.3">
      <c r="A214" s="12">
        <v>1</v>
      </c>
      <c r="B214" s="12">
        <v>1</v>
      </c>
      <c r="C214" s="12" t="s">
        <v>81</v>
      </c>
      <c r="D214" s="15" t="s">
        <v>40</v>
      </c>
      <c r="E214" s="15" t="s">
        <v>9</v>
      </c>
      <c r="F214" s="15" t="s">
        <v>49</v>
      </c>
    </row>
    <row r="215" spans="1:6" x14ac:dyDescent="0.3">
      <c r="A215" s="7">
        <v>1</v>
      </c>
      <c r="B215" s="14">
        <v>2</v>
      </c>
      <c r="C215" s="14" t="s">
        <v>80</v>
      </c>
      <c r="D215" s="8" t="s">
        <v>29</v>
      </c>
      <c r="E215" s="4" t="s">
        <v>42</v>
      </c>
      <c r="F215" s="4" t="s">
        <v>69</v>
      </c>
    </row>
    <row r="216" spans="1:6" x14ac:dyDescent="0.3">
      <c r="A216" s="12">
        <v>1</v>
      </c>
      <c r="B216" s="12">
        <v>1</v>
      </c>
      <c r="C216" s="12" t="s">
        <v>81</v>
      </c>
      <c r="D216" s="15" t="s">
        <v>0</v>
      </c>
      <c r="E216" s="15" t="s">
        <v>41</v>
      </c>
      <c r="F216" s="15" t="s">
        <v>50</v>
      </c>
    </row>
    <row r="217" spans="1:6" x14ac:dyDescent="0.3">
      <c r="A217" s="7">
        <v>1</v>
      </c>
      <c r="B217" s="7">
        <v>2</v>
      </c>
      <c r="C217" s="7" t="s">
        <v>80</v>
      </c>
      <c r="D217" s="4" t="s">
        <v>40</v>
      </c>
      <c r="E217" s="4" t="s">
        <v>10</v>
      </c>
      <c r="F217" s="4" t="s">
        <v>50</v>
      </c>
    </row>
    <row r="218" spans="1:6" x14ac:dyDescent="0.3">
      <c r="A218" s="12">
        <v>1</v>
      </c>
      <c r="B218" s="14">
        <v>1</v>
      </c>
      <c r="C218" s="13" t="s">
        <v>81</v>
      </c>
      <c r="D218" s="8" t="s">
        <v>29</v>
      </c>
      <c r="E218" s="15" t="s">
        <v>42</v>
      </c>
      <c r="F218" s="15" t="s">
        <v>68</v>
      </c>
    </row>
    <row r="219" spans="1:6" x14ac:dyDescent="0.3">
      <c r="A219" s="7">
        <v>1</v>
      </c>
      <c r="B219" s="14">
        <v>1</v>
      </c>
      <c r="C219" s="14" t="s">
        <v>81</v>
      </c>
      <c r="D219" s="8" t="s">
        <v>29</v>
      </c>
      <c r="E219" s="4" t="s">
        <v>42</v>
      </c>
      <c r="F219" s="4" t="s">
        <v>67</v>
      </c>
    </row>
    <row r="220" spans="1:6" x14ac:dyDescent="0.3">
      <c r="A220" s="27">
        <v>2</v>
      </c>
      <c r="B220" s="9">
        <v>2</v>
      </c>
      <c r="C220" s="9" t="s">
        <v>80</v>
      </c>
      <c r="D220" s="9" t="s">
        <v>29</v>
      </c>
      <c r="E220" s="27" t="s">
        <v>42</v>
      </c>
      <c r="F220" s="27" t="s">
        <v>43</v>
      </c>
    </row>
    <row r="221" spans="1:6" x14ac:dyDescent="0.3">
      <c r="A221" s="15">
        <v>2</v>
      </c>
      <c r="B221" s="12">
        <v>1</v>
      </c>
      <c r="C221" s="12" t="s">
        <v>81</v>
      </c>
      <c r="D221" s="15" t="s">
        <v>0</v>
      </c>
      <c r="E221" s="15" t="s">
        <v>41</v>
      </c>
      <c r="F221" s="15" t="s">
        <v>58</v>
      </c>
    </row>
    <row r="222" spans="1:6" x14ac:dyDescent="0.3">
      <c r="A222" s="27">
        <v>2</v>
      </c>
      <c r="B222" s="28">
        <v>1</v>
      </c>
      <c r="C222" s="28" t="s">
        <v>81</v>
      </c>
      <c r="D222" s="27" t="s">
        <v>40</v>
      </c>
      <c r="E222" s="27" t="s">
        <v>9</v>
      </c>
      <c r="F222" s="27" t="s">
        <v>58</v>
      </c>
    </row>
    <row r="223" spans="1:6" x14ac:dyDescent="0.3">
      <c r="A223" s="15">
        <v>2</v>
      </c>
      <c r="B223" s="9">
        <v>2</v>
      </c>
      <c r="C223" s="9" t="s">
        <v>80</v>
      </c>
      <c r="D223" s="9" t="s">
        <v>29</v>
      </c>
      <c r="E223" s="15" t="s">
        <v>42</v>
      </c>
      <c r="F223" s="15" t="s">
        <v>44</v>
      </c>
    </row>
    <row r="224" spans="1:6" x14ac:dyDescent="0.3">
      <c r="A224" s="15">
        <v>2</v>
      </c>
      <c r="B224" s="12">
        <v>1</v>
      </c>
      <c r="C224" s="28" t="s">
        <v>81</v>
      </c>
      <c r="D224" s="15" t="s">
        <v>0</v>
      </c>
      <c r="E224" s="15" t="s">
        <v>41</v>
      </c>
      <c r="F224" s="15" t="s">
        <v>57</v>
      </c>
    </row>
    <row r="225" spans="1:6" x14ac:dyDescent="0.3">
      <c r="A225" s="4">
        <v>2</v>
      </c>
      <c r="B225" s="7">
        <v>1</v>
      </c>
      <c r="C225" s="7" t="s">
        <v>81</v>
      </c>
      <c r="D225" s="4" t="s">
        <v>40</v>
      </c>
      <c r="E225" s="4" t="s">
        <v>9</v>
      </c>
      <c r="F225" s="4" t="s">
        <v>57</v>
      </c>
    </row>
    <row r="226" spans="1:6" x14ac:dyDescent="0.3">
      <c r="A226" s="15">
        <v>2</v>
      </c>
      <c r="B226" s="12">
        <v>1</v>
      </c>
      <c r="C226" s="28" t="s">
        <v>81</v>
      </c>
      <c r="D226" s="15" t="s">
        <v>0</v>
      </c>
      <c r="E226" s="15" t="s">
        <v>41</v>
      </c>
      <c r="F226" s="15" t="s">
        <v>56</v>
      </c>
    </row>
    <row r="227" spans="1:6" x14ac:dyDescent="0.3">
      <c r="A227" s="4">
        <v>2</v>
      </c>
      <c r="B227" s="7">
        <v>2</v>
      </c>
      <c r="C227" s="7" t="s">
        <v>80</v>
      </c>
      <c r="D227" s="4" t="s">
        <v>40</v>
      </c>
      <c r="E227" s="4" t="s">
        <v>10</v>
      </c>
      <c r="F227" s="4" t="s">
        <v>56</v>
      </c>
    </row>
    <row r="228" spans="1:6" x14ac:dyDescent="0.3">
      <c r="A228" s="15">
        <v>2</v>
      </c>
      <c r="B228" s="12">
        <v>2</v>
      </c>
      <c r="C228" s="28" t="s">
        <v>80</v>
      </c>
      <c r="D228" s="15" t="s">
        <v>0</v>
      </c>
      <c r="E228" s="15" t="s">
        <v>41</v>
      </c>
      <c r="F228" s="15" t="s">
        <v>55</v>
      </c>
    </row>
    <row r="229" spans="1:6" x14ac:dyDescent="0.3">
      <c r="A229" s="4">
        <v>2</v>
      </c>
      <c r="B229" s="7">
        <v>1</v>
      </c>
      <c r="C229" s="7" t="s">
        <v>81</v>
      </c>
      <c r="D229" s="4" t="s">
        <v>40</v>
      </c>
      <c r="E229" s="4" t="s">
        <v>10</v>
      </c>
      <c r="F229" s="4" t="s">
        <v>55</v>
      </c>
    </row>
    <row r="230" spans="1:6" x14ac:dyDescent="0.3">
      <c r="A230" s="27">
        <v>2</v>
      </c>
      <c r="B230" s="9">
        <v>2</v>
      </c>
      <c r="C230" s="9" t="s">
        <v>80</v>
      </c>
      <c r="D230" s="9" t="s">
        <v>29</v>
      </c>
      <c r="E230" s="27" t="s">
        <v>42</v>
      </c>
      <c r="F230" s="27" t="s">
        <v>45</v>
      </c>
    </row>
    <row r="231" spans="1:6" x14ac:dyDescent="0.3">
      <c r="A231" s="15">
        <v>2</v>
      </c>
      <c r="B231" s="12">
        <v>1</v>
      </c>
      <c r="C231" s="7" t="s">
        <v>81</v>
      </c>
      <c r="D231" s="15" t="s">
        <v>0</v>
      </c>
      <c r="E231" s="15" t="s">
        <v>41</v>
      </c>
      <c r="F231" s="15" t="s">
        <v>54</v>
      </c>
    </row>
    <row r="232" spans="1:6" x14ac:dyDescent="0.3">
      <c r="A232" s="27">
        <v>2</v>
      </c>
      <c r="B232" s="28">
        <v>2</v>
      </c>
      <c r="C232" s="28" t="s">
        <v>80</v>
      </c>
      <c r="D232" s="27" t="s">
        <v>40</v>
      </c>
      <c r="E232" s="27" t="s">
        <v>10</v>
      </c>
      <c r="F232" s="27" t="s">
        <v>54</v>
      </c>
    </row>
    <row r="233" spans="1:6" x14ac:dyDescent="0.3">
      <c r="A233" s="15">
        <v>2</v>
      </c>
      <c r="B233" s="9">
        <v>1</v>
      </c>
      <c r="C233" s="9" t="s">
        <v>81</v>
      </c>
      <c r="D233" s="9" t="s">
        <v>29</v>
      </c>
      <c r="E233" s="15" t="s">
        <v>42</v>
      </c>
      <c r="F233" s="15" t="s">
        <v>46</v>
      </c>
    </row>
    <row r="234" spans="1:6" x14ac:dyDescent="0.3">
      <c r="A234" s="27">
        <v>2</v>
      </c>
      <c r="B234" s="9">
        <v>1</v>
      </c>
      <c r="C234" s="9" t="s">
        <v>81</v>
      </c>
      <c r="D234" s="9" t="s">
        <v>29</v>
      </c>
      <c r="E234" s="27" t="s">
        <v>42</v>
      </c>
      <c r="F234" s="27" t="s">
        <v>47</v>
      </c>
    </row>
    <row r="235" spans="1:6" x14ac:dyDescent="0.3">
      <c r="A235" s="15">
        <v>2</v>
      </c>
      <c r="B235" s="12">
        <v>2</v>
      </c>
      <c r="C235" s="12" t="s">
        <v>80</v>
      </c>
      <c r="D235" s="15" t="s">
        <v>0</v>
      </c>
      <c r="E235" s="15" t="s">
        <v>41</v>
      </c>
      <c r="F235" s="15" t="s">
        <v>53</v>
      </c>
    </row>
    <row r="236" spans="1:6" x14ac:dyDescent="0.3">
      <c r="A236" s="27">
        <v>2</v>
      </c>
      <c r="B236" s="28">
        <v>2</v>
      </c>
      <c r="C236" s="28" t="s">
        <v>80</v>
      </c>
      <c r="D236" s="27" t="s">
        <v>40</v>
      </c>
      <c r="E236" s="27" t="s">
        <v>9</v>
      </c>
      <c r="F236" s="27" t="s">
        <v>53</v>
      </c>
    </row>
    <row r="237" spans="1:6" x14ac:dyDescent="0.3">
      <c r="A237" s="15">
        <v>2</v>
      </c>
      <c r="B237" s="9">
        <v>1</v>
      </c>
      <c r="C237" s="9" t="s">
        <v>81</v>
      </c>
      <c r="D237" s="9" t="s">
        <v>29</v>
      </c>
      <c r="E237" s="15" t="s">
        <v>42</v>
      </c>
      <c r="F237" s="15" t="s">
        <v>48</v>
      </c>
    </row>
    <row r="238" spans="1:6" x14ac:dyDescent="0.3">
      <c r="A238" s="27">
        <v>2</v>
      </c>
      <c r="B238" s="28">
        <v>2</v>
      </c>
      <c r="C238" s="28" t="s">
        <v>80</v>
      </c>
      <c r="D238" s="27" t="s">
        <v>0</v>
      </c>
      <c r="E238" s="27" t="s">
        <v>41</v>
      </c>
      <c r="F238" s="27" t="s">
        <v>52</v>
      </c>
    </row>
    <row r="239" spans="1:6" x14ac:dyDescent="0.3">
      <c r="A239" s="15">
        <v>2</v>
      </c>
      <c r="B239" s="12">
        <v>2</v>
      </c>
      <c r="C239" s="12" t="s">
        <v>80</v>
      </c>
      <c r="D239" s="15" t="s">
        <v>40</v>
      </c>
      <c r="E239" s="15" t="s">
        <v>9</v>
      </c>
      <c r="F239" s="15" t="s">
        <v>52</v>
      </c>
    </row>
    <row r="240" spans="1:6" x14ac:dyDescent="0.3">
      <c r="A240" s="27">
        <v>2</v>
      </c>
      <c r="B240" s="9">
        <v>2</v>
      </c>
      <c r="C240" s="9" t="s">
        <v>80</v>
      </c>
      <c r="D240" s="9" t="s">
        <v>29</v>
      </c>
      <c r="E240" s="27" t="s">
        <v>42</v>
      </c>
      <c r="F240" s="27" t="s">
        <v>49</v>
      </c>
    </row>
    <row r="241" spans="1:6" x14ac:dyDescent="0.3">
      <c r="A241" s="15">
        <v>2</v>
      </c>
      <c r="B241" s="9">
        <v>1</v>
      </c>
      <c r="C241" s="9" t="s">
        <v>81</v>
      </c>
      <c r="D241" s="9" t="s">
        <v>29</v>
      </c>
      <c r="E241" s="15" t="s">
        <v>42</v>
      </c>
      <c r="F241" s="15" t="s">
        <v>50</v>
      </c>
    </row>
    <row r="242" spans="1:6" x14ac:dyDescent="0.3">
      <c r="A242" s="27">
        <v>2</v>
      </c>
      <c r="B242" s="28">
        <v>2</v>
      </c>
      <c r="C242" s="28" t="s">
        <v>80</v>
      </c>
      <c r="D242" s="27" t="s">
        <v>0</v>
      </c>
      <c r="E242" s="27" t="s">
        <v>41</v>
      </c>
      <c r="F242" s="27" t="s">
        <v>51</v>
      </c>
    </row>
    <row r="243" spans="1:6" x14ac:dyDescent="0.3">
      <c r="A243" s="15">
        <v>2</v>
      </c>
      <c r="B243" s="12">
        <v>1</v>
      </c>
      <c r="C243" s="12" t="s">
        <v>81</v>
      </c>
      <c r="D243" s="15" t="s">
        <v>40</v>
      </c>
      <c r="E243" s="15" t="s">
        <v>10</v>
      </c>
      <c r="F243" s="15" t="s">
        <v>51</v>
      </c>
    </row>
    <row r="244" spans="1:6" x14ac:dyDescent="0.3">
      <c r="A244" s="12">
        <v>3</v>
      </c>
      <c r="B244" s="12">
        <v>1</v>
      </c>
      <c r="C244" s="12" t="s">
        <v>81</v>
      </c>
      <c r="D244" s="15" t="s">
        <v>0</v>
      </c>
      <c r="E244" s="15" t="s">
        <v>41</v>
      </c>
      <c r="F244" s="15" t="s">
        <v>59</v>
      </c>
    </row>
    <row r="245" spans="1:6" x14ac:dyDescent="0.3">
      <c r="A245" s="7">
        <v>3</v>
      </c>
      <c r="B245" s="7">
        <v>2</v>
      </c>
      <c r="C245" s="7" t="s">
        <v>80</v>
      </c>
      <c r="D245" s="4" t="s">
        <v>40</v>
      </c>
      <c r="E245" s="4" t="s">
        <v>10</v>
      </c>
      <c r="F245" s="4" t="s">
        <v>59</v>
      </c>
    </row>
    <row r="246" spans="1:6" x14ac:dyDescent="0.3">
      <c r="A246" s="12">
        <v>3</v>
      </c>
      <c r="B246" s="12">
        <v>2</v>
      </c>
      <c r="C246" s="12" t="s">
        <v>80</v>
      </c>
      <c r="D246" s="15" t="s">
        <v>0</v>
      </c>
      <c r="E246" s="15" t="s">
        <v>41</v>
      </c>
      <c r="F246" s="15" t="s">
        <v>60</v>
      </c>
    </row>
    <row r="247" spans="1:6" x14ac:dyDescent="0.3">
      <c r="A247" s="7">
        <v>3</v>
      </c>
      <c r="B247" s="7">
        <v>1</v>
      </c>
      <c r="C247" s="7" t="s">
        <v>81</v>
      </c>
      <c r="D247" s="4" t="s">
        <v>40</v>
      </c>
      <c r="E247" s="4" t="s">
        <v>10</v>
      </c>
      <c r="F247" s="4" t="s">
        <v>60</v>
      </c>
    </row>
    <row r="248" spans="1:6" x14ac:dyDescent="0.3">
      <c r="A248" s="12">
        <v>3</v>
      </c>
      <c r="B248" s="10">
        <v>1</v>
      </c>
      <c r="C248" s="10" t="s">
        <v>81</v>
      </c>
      <c r="D248" s="10" t="s">
        <v>29</v>
      </c>
      <c r="E248" s="15" t="s">
        <v>42</v>
      </c>
      <c r="F248" s="15" t="s">
        <v>58</v>
      </c>
    </row>
    <row r="249" spans="1:6" x14ac:dyDescent="0.3">
      <c r="A249" s="7">
        <v>3</v>
      </c>
      <c r="B249" s="7">
        <v>1</v>
      </c>
      <c r="C249" s="7" t="s">
        <v>81</v>
      </c>
      <c r="D249" s="4" t="s">
        <v>0</v>
      </c>
      <c r="E249" s="4" t="s">
        <v>41</v>
      </c>
      <c r="F249" s="4" t="s">
        <v>61</v>
      </c>
    </row>
    <row r="250" spans="1:6" x14ac:dyDescent="0.3">
      <c r="A250" s="12">
        <v>3</v>
      </c>
      <c r="B250" s="12">
        <v>2</v>
      </c>
      <c r="C250" s="12" t="s">
        <v>80</v>
      </c>
      <c r="D250" s="15" t="s">
        <v>40</v>
      </c>
      <c r="E250" s="15" t="s">
        <v>10</v>
      </c>
      <c r="F250" s="15" t="s">
        <v>61</v>
      </c>
    </row>
    <row r="251" spans="1:6" x14ac:dyDescent="0.3">
      <c r="A251" s="7">
        <v>3</v>
      </c>
      <c r="B251" s="10">
        <v>1</v>
      </c>
      <c r="C251" s="10" t="s">
        <v>81</v>
      </c>
      <c r="D251" s="10" t="s">
        <v>29</v>
      </c>
      <c r="E251" s="4" t="s">
        <v>42</v>
      </c>
      <c r="F251" s="4" t="s">
        <v>57</v>
      </c>
    </row>
    <row r="252" spans="1:6" x14ac:dyDescent="0.3">
      <c r="A252" s="12">
        <v>3</v>
      </c>
      <c r="B252" s="12">
        <v>2</v>
      </c>
      <c r="C252" s="12" t="s">
        <v>80</v>
      </c>
      <c r="D252" s="15" t="s">
        <v>0</v>
      </c>
      <c r="E252" s="15" t="s">
        <v>41</v>
      </c>
      <c r="F252" s="15" t="s">
        <v>62</v>
      </c>
    </row>
    <row r="253" spans="1:6" x14ac:dyDescent="0.3">
      <c r="A253" s="7">
        <v>3</v>
      </c>
      <c r="B253" s="7">
        <v>2</v>
      </c>
      <c r="C253" s="7" t="s">
        <v>80</v>
      </c>
      <c r="D253" s="4" t="s">
        <v>40</v>
      </c>
      <c r="E253" s="4" t="s">
        <v>9</v>
      </c>
      <c r="F253" s="4" t="s">
        <v>62</v>
      </c>
    </row>
    <row r="254" spans="1:6" x14ac:dyDescent="0.3">
      <c r="A254" s="12">
        <v>3</v>
      </c>
      <c r="B254" s="10">
        <v>2</v>
      </c>
      <c r="C254" s="10" t="s">
        <v>80</v>
      </c>
      <c r="D254" s="10" t="s">
        <v>29</v>
      </c>
      <c r="E254" s="15" t="s">
        <v>42</v>
      </c>
      <c r="F254" s="15" t="s">
        <v>56</v>
      </c>
    </row>
    <row r="255" spans="1:6" x14ac:dyDescent="0.3">
      <c r="A255" s="7">
        <v>3</v>
      </c>
      <c r="B255" s="10">
        <v>1</v>
      </c>
      <c r="C255" s="10" t="s">
        <v>81</v>
      </c>
      <c r="D255" s="10" t="s">
        <v>29</v>
      </c>
      <c r="E255" s="4" t="s">
        <v>42</v>
      </c>
      <c r="F255" s="4" t="s">
        <v>55</v>
      </c>
    </row>
    <row r="256" spans="1:6" x14ac:dyDescent="0.3">
      <c r="A256" s="12">
        <v>3</v>
      </c>
      <c r="B256" s="10">
        <v>1</v>
      </c>
      <c r="C256" s="10" t="s">
        <v>81</v>
      </c>
      <c r="D256" s="10" t="s">
        <v>29</v>
      </c>
      <c r="E256" s="15" t="s">
        <v>42</v>
      </c>
      <c r="F256" s="15" t="s">
        <v>54</v>
      </c>
    </row>
    <row r="257" spans="1:6" x14ac:dyDescent="0.3">
      <c r="A257" s="7">
        <v>3</v>
      </c>
      <c r="B257" s="7">
        <v>2</v>
      </c>
      <c r="C257" s="7" t="s">
        <v>80</v>
      </c>
      <c r="D257" s="4" t="s">
        <v>0</v>
      </c>
      <c r="E257" s="4" t="s">
        <v>41</v>
      </c>
      <c r="F257" s="4" t="s">
        <v>63</v>
      </c>
    </row>
    <row r="258" spans="1:6" x14ac:dyDescent="0.3">
      <c r="A258" s="12">
        <v>3</v>
      </c>
      <c r="B258" s="12">
        <v>2</v>
      </c>
      <c r="C258" s="12" t="s">
        <v>80</v>
      </c>
      <c r="D258" s="15" t="s">
        <v>40</v>
      </c>
      <c r="E258" s="15" t="s">
        <v>9</v>
      </c>
      <c r="F258" s="15" t="s">
        <v>63</v>
      </c>
    </row>
    <row r="259" spans="1:6" x14ac:dyDescent="0.3">
      <c r="A259" s="7">
        <v>3</v>
      </c>
      <c r="B259" s="7">
        <v>2</v>
      </c>
      <c r="C259" s="7" t="s">
        <v>80</v>
      </c>
      <c r="D259" s="4" t="s">
        <v>0</v>
      </c>
      <c r="E259" s="4" t="s">
        <v>41</v>
      </c>
      <c r="F259" s="4" t="s">
        <v>64</v>
      </c>
    </row>
    <row r="260" spans="1:6" x14ac:dyDescent="0.3">
      <c r="A260" s="12">
        <v>3</v>
      </c>
      <c r="B260" s="12">
        <v>1</v>
      </c>
      <c r="C260" s="12" t="s">
        <v>81</v>
      </c>
      <c r="D260" s="15" t="s">
        <v>40</v>
      </c>
      <c r="E260" s="15" t="s">
        <v>10</v>
      </c>
      <c r="F260" s="15" t="s">
        <v>64</v>
      </c>
    </row>
    <row r="261" spans="1:6" x14ac:dyDescent="0.3">
      <c r="A261" s="7">
        <v>3</v>
      </c>
      <c r="B261" s="10">
        <v>2</v>
      </c>
      <c r="C261" s="10" t="s">
        <v>80</v>
      </c>
      <c r="D261" s="10" t="s">
        <v>29</v>
      </c>
      <c r="E261" s="4" t="s">
        <v>42</v>
      </c>
      <c r="F261" s="4" t="s">
        <v>53</v>
      </c>
    </row>
    <row r="262" spans="1:6" x14ac:dyDescent="0.3">
      <c r="A262" s="12">
        <v>3</v>
      </c>
      <c r="B262" s="12">
        <v>1</v>
      </c>
      <c r="C262" s="12" t="s">
        <v>81</v>
      </c>
      <c r="D262" s="15" t="s">
        <v>0</v>
      </c>
      <c r="E262" s="15" t="s">
        <v>41</v>
      </c>
      <c r="F262" s="15" t="s">
        <v>65</v>
      </c>
    </row>
    <row r="263" spans="1:6" x14ac:dyDescent="0.3">
      <c r="A263" s="7">
        <v>3</v>
      </c>
      <c r="B263" s="7">
        <v>1</v>
      </c>
      <c r="C263" s="7" t="s">
        <v>81</v>
      </c>
      <c r="D263" s="4" t="s">
        <v>40</v>
      </c>
      <c r="E263" s="4" t="s">
        <v>9</v>
      </c>
      <c r="F263" s="4" t="s">
        <v>65</v>
      </c>
    </row>
    <row r="264" spans="1:6" x14ac:dyDescent="0.3">
      <c r="A264" s="12">
        <v>3</v>
      </c>
      <c r="B264" s="10">
        <v>2</v>
      </c>
      <c r="C264" s="10" t="s">
        <v>80</v>
      </c>
      <c r="D264" s="10" t="s">
        <v>29</v>
      </c>
      <c r="E264" s="15" t="s">
        <v>42</v>
      </c>
      <c r="F264" s="15" t="s">
        <v>52</v>
      </c>
    </row>
    <row r="265" spans="1:6" x14ac:dyDescent="0.3">
      <c r="A265" s="7">
        <v>3</v>
      </c>
      <c r="B265" s="10">
        <v>2</v>
      </c>
      <c r="C265" s="10" t="s">
        <v>80</v>
      </c>
      <c r="D265" s="10" t="s">
        <v>29</v>
      </c>
      <c r="E265" s="4" t="s">
        <v>42</v>
      </c>
      <c r="F265" s="4" t="s">
        <v>51</v>
      </c>
    </row>
    <row r="266" spans="1:6" x14ac:dyDescent="0.3">
      <c r="A266" s="12">
        <v>3</v>
      </c>
      <c r="B266" s="12">
        <v>1</v>
      </c>
      <c r="C266" s="12" t="s">
        <v>81</v>
      </c>
      <c r="D266" s="15" t="s">
        <v>0</v>
      </c>
      <c r="E266" s="15" t="s">
        <v>41</v>
      </c>
      <c r="F266" s="15" t="s">
        <v>66</v>
      </c>
    </row>
    <row r="267" spans="1:6" x14ac:dyDescent="0.3">
      <c r="A267" s="7">
        <v>3</v>
      </c>
      <c r="B267" s="7">
        <v>1</v>
      </c>
      <c r="C267" s="7" t="s">
        <v>81</v>
      </c>
      <c r="D267" s="4" t="s">
        <v>40</v>
      </c>
      <c r="E267" s="4" t="s">
        <v>9</v>
      </c>
      <c r="F267" s="4" t="s">
        <v>66</v>
      </c>
    </row>
    <row r="268" spans="1:6" x14ac:dyDescent="0.3">
      <c r="A268" s="27">
        <v>4</v>
      </c>
      <c r="B268" s="11">
        <v>2</v>
      </c>
      <c r="C268" s="11" t="s">
        <v>80</v>
      </c>
      <c r="D268" s="11" t="s">
        <v>29</v>
      </c>
      <c r="E268" s="27" t="s">
        <v>42</v>
      </c>
      <c r="F268" s="27" t="s">
        <v>59</v>
      </c>
    </row>
    <row r="269" spans="1:6" x14ac:dyDescent="0.3">
      <c r="A269" s="15">
        <v>4</v>
      </c>
      <c r="B269" s="12">
        <v>1</v>
      </c>
      <c r="C269" s="12" t="s">
        <v>81</v>
      </c>
      <c r="D269" s="15" t="s">
        <v>0</v>
      </c>
      <c r="E269" s="15" t="s">
        <v>41</v>
      </c>
      <c r="F269" s="15" t="s">
        <v>74</v>
      </c>
    </row>
    <row r="270" spans="1:6" x14ac:dyDescent="0.3">
      <c r="A270" s="27">
        <v>4</v>
      </c>
      <c r="B270" s="28">
        <v>1</v>
      </c>
      <c r="C270" s="28" t="s">
        <v>81</v>
      </c>
      <c r="D270" s="27" t="s">
        <v>40</v>
      </c>
      <c r="E270" s="27" t="s">
        <v>9</v>
      </c>
      <c r="F270" s="27" t="s">
        <v>74</v>
      </c>
    </row>
    <row r="271" spans="1:6" x14ac:dyDescent="0.3">
      <c r="A271" s="15">
        <v>4</v>
      </c>
      <c r="B271" s="12">
        <v>1</v>
      </c>
      <c r="C271" s="12" t="s">
        <v>81</v>
      </c>
      <c r="D271" s="15" t="s">
        <v>0</v>
      </c>
      <c r="E271" s="15" t="s">
        <v>41</v>
      </c>
      <c r="F271" s="15" t="s">
        <v>73</v>
      </c>
    </row>
    <row r="272" spans="1:6" x14ac:dyDescent="0.3">
      <c r="A272" s="27">
        <v>4</v>
      </c>
      <c r="B272" s="28">
        <v>2</v>
      </c>
      <c r="C272" s="28" t="s">
        <v>80</v>
      </c>
      <c r="D272" s="27" t="s">
        <v>40</v>
      </c>
      <c r="E272" s="27" t="s">
        <v>10</v>
      </c>
      <c r="F272" s="27" t="s">
        <v>73</v>
      </c>
    </row>
    <row r="273" spans="1:6" x14ac:dyDescent="0.3">
      <c r="A273" s="15">
        <v>4</v>
      </c>
      <c r="B273" s="11">
        <v>1</v>
      </c>
      <c r="C273" s="11" t="s">
        <v>81</v>
      </c>
      <c r="D273" s="11" t="s">
        <v>29</v>
      </c>
      <c r="E273" s="15" t="s">
        <v>42</v>
      </c>
      <c r="F273" s="15" t="s">
        <v>60</v>
      </c>
    </row>
    <row r="274" spans="1:6" x14ac:dyDescent="0.3">
      <c r="A274" s="27">
        <v>4</v>
      </c>
      <c r="B274" s="11">
        <v>1</v>
      </c>
      <c r="C274" s="11" t="s">
        <v>81</v>
      </c>
      <c r="D274" s="11" t="s">
        <v>29</v>
      </c>
      <c r="E274" s="27" t="s">
        <v>42</v>
      </c>
      <c r="F274" s="27" t="s">
        <v>61</v>
      </c>
    </row>
    <row r="275" spans="1:6" x14ac:dyDescent="0.3">
      <c r="A275" s="15">
        <v>4</v>
      </c>
      <c r="B275" s="12">
        <v>2</v>
      </c>
      <c r="C275" s="12" t="s">
        <v>80</v>
      </c>
      <c r="D275" s="15" t="s">
        <v>0</v>
      </c>
      <c r="E275" s="15" t="s">
        <v>41</v>
      </c>
      <c r="F275" s="15" t="s">
        <v>72</v>
      </c>
    </row>
    <row r="276" spans="1:6" x14ac:dyDescent="0.3">
      <c r="A276" s="27">
        <v>4</v>
      </c>
      <c r="B276" s="28">
        <v>2</v>
      </c>
      <c r="C276" s="28" t="s">
        <v>80</v>
      </c>
      <c r="D276" s="27" t="s">
        <v>40</v>
      </c>
      <c r="E276" s="27" t="s">
        <v>9</v>
      </c>
      <c r="F276" s="27" t="s">
        <v>72</v>
      </c>
    </row>
    <row r="277" spans="1:6" x14ac:dyDescent="0.3">
      <c r="A277" s="15">
        <v>4</v>
      </c>
      <c r="B277" s="12">
        <v>2</v>
      </c>
      <c r="C277" s="12" t="s">
        <v>80</v>
      </c>
      <c r="D277" s="15" t="s">
        <v>0</v>
      </c>
      <c r="E277" s="15" t="s">
        <v>41</v>
      </c>
      <c r="F277" s="15" t="s">
        <v>71</v>
      </c>
    </row>
    <row r="278" spans="1:6" x14ac:dyDescent="0.3">
      <c r="A278" s="27">
        <v>4</v>
      </c>
      <c r="B278" s="28">
        <v>1</v>
      </c>
      <c r="C278" s="28" t="s">
        <v>81</v>
      </c>
      <c r="D278" s="27" t="s">
        <v>40</v>
      </c>
      <c r="E278" s="27" t="s">
        <v>10</v>
      </c>
      <c r="F278" s="27" t="s">
        <v>71</v>
      </c>
    </row>
    <row r="279" spans="1:6" x14ac:dyDescent="0.3">
      <c r="A279" s="15">
        <v>4</v>
      </c>
      <c r="B279" s="11">
        <v>2</v>
      </c>
      <c r="C279" s="11" t="s">
        <v>80</v>
      </c>
      <c r="D279" s="11" t="s">
        <v>29</v>
      </c>
      <c r="E279" s="15" t="s">
        <v>42</v>
      </c>
      <c r="F279" s="15" t="s">
        <v>62</v>
      </c>
    </row>
    <row r="280" spans="1:6" x14ac:dyDescent="0.3">
      <c r="A280" s="27">
        <v>4</v>
      </c>
      <c r="B280" s="28">
        <v>1</v>
      </c>
      <c r="C280" s="28" t="s">
        <v>81</v>
      </c>
      <c r="D280" s="27" t="s">
        <v>0</v>
      </c>
      <c r="E280" s="27" t="s">
        <v>41</v>
      </c>
      <c r="F280" s="27" t="s">
        <v>70</v>
      </c>
    </row>
    <row r="281" spans="1:6" x14ac:dyDescent="0.3">
      <c r="A281" s="15">
        <v>4</v>
      </c>
      <c r="B281" s="12">
        <v>2</v>
      </c>
      <c r="C281" s="12" t="s">
        <v>80</v>
      </c>
      <c r="D281" s="15" t="s">
        <v>40</v>
      </c>
      <c r="E281" s="15" t="s">
        <v>10</v>
      </c>
      <c r="F281" s="15" t="s">
        <v>70</v>
      </c>
    </row>
    <row r="282" spans="1:6" x14ac:dyDescent="0.3">
      <c r="A282" s="27">
        <v>4</v>
      </c>
      <c r="B282" s="28">
        <v>2</v>
      </c>
      <c r="C282" s="28" t="s">
        <v>80</v>
      </c>
      <c r="D282" s="27" t="s">
        <v>0</v>
      </c>
      <c r="E282" s="27" t="s">
        <v>41</v>
      </c>
      <c r="F282" s="27" t="s">
        <v>69</v>
      </c>
    </row>
    <row r="283" spans="1:6" x14ac:dyDescent="0.3">
      <c r="A283" s="15">
        <v>4</v>
      </c>
      <c r="B283" s="12">
        <v>2</v>
      </c>
      <c r="C283" s="12" t="s">
        <v>80</v>
      </c>
      <c r="D283" s="15" t="s">
        <v>40</v>
      </c>
      <c r="E283" s="15" t="s">
        <v>9</v>
      </c>
      <c r="F283" s="15" t="s">
        <v>69</v>
      </c>
    </row>
    <row r="284" spans="1:6" x14ac:dyDescent="0.3">
      <c r="A284" s="27">
        <v>4</v>
      </c>
      <c r="B284" s="11">
        <v>1</v>
      </c>
      <c r="C284" s="11" t="s">
        <v>81</v>
      </c>
      <c r="D284" s="11" t="s">
        <v>29</v>
      </c>
      <c r="E284" s="27" t="s">
        <v>42</v>
      </c>
      <c r="F284" s="27" t="s">
        <v>63</v>
      </c>
    </row>
    <row r="285" spans="1:6" x14ac:dyDescent="0.3">
      <c r="A285" s="15">
        <v>4</v>
      </c>
      <c r="B285" s="11">
        <v>2</v>
      </c>
      <c r="C285" s="11" t="s">
        <v>80</v>
      </c>
      <c r="D285" s="11" t="s">
        <v>29</v>
      </c>
      <c r="E285" s="15" t="s">
        <v>42</v>
      </c>
      <c r="F285" s="15" t="s">
        <v>64</v>
      </c>
    </row>
    <row r="286" spans="1:6" x14ac:dyDescent="0.3">
      <c r="A286" s="27">
        <v>4</v>
      </c>
      <c r="B286" s="11">
        <v>1</v>
      </c>
      <c r="C286" s="11" t="s">
        <v>81</v>
      </c>
      <c r="D286" s="11" t="s">
        <v>29</v>
      </c>
      <c r="E286" s="27" t="s">
        <v>42</v>
      </c>
      <c r="F286" s="27" t="s">
        <v>65</v>
      </c>
    </row>
    <row r="287" spans="1:6" x14ac:dyDescent="0.3">
      <c r="A287" s="15">
        <v>4</v>
      </c>
      <c r="B287" s="12">
        <v>2</v>
      </c>
      <c r="C287" s="12" t="s">
        <v>80</v>
      </c>
      <c r="D287" s="15" t="s">
        <v>0</v>
      </c>
      <c r="E287" s="15" t="s">
        <v>41</v>
      </c>
      <c r="F287" s="15" t="s">
        <v>68</v>
      </c>
    </row>
    <row r="288" spans="1:6" x14ac:dyDescent="0.3">
      <c r="A288" s="27">
        <v>4</v>
      </c>
      <c r="B288" s="28">
        <v>1</v>
      </c>
      <c r="C288" s="28" t="s">
        <v>81</v>
      </c>
      <c r="D288" s="27" t="s">
        <v>40</v>
      </c>
      <c r="E288" s="27" t="s">
        <v>10</v>
      </c>
      <c r="F288" s="27" t="s">
        <v>68</v>
      </c>
    </row>
    <row r="289" spans="1:6" x14ac:dyDescent="0.3">
      <c r="A289" s="15">
        <v>4</v>
      </c>
      <c r="B289" s="11">
        <v>1</v>
      </c>
      <c r="C289" s="11" t="s">
        <v>80</v>
      </c>
      <c r="D289" s="11" t="s">
        <v>29</v>
      </c>
      <c r="E289" s="15" t="s">
        <v>42</v>
      </c>
      <c r="F289" s="15" t="s">
        <v>66</v>
      </c>
    </row>
    <row r="290" spans="1:6" x14ac:dyDescent="0.3">
      <c r="A290" s="27">
        <v>4</v>
      </c>
      <c r="B290" s="28">
        <v>1</v>
      </c>
      <c r="C290" s="28" t="s">
        <v>81</v>
      </c>
      <c r="D290" s="27" t="s">
        <v>0</v>
      </c>
      <c r="E290" s="27" t="s">
        <v>41</v>
      </c>
      <c r="F290" s="27" t="s">
        <v>67</v>
      </c>
    </row>
    <row r="291" spans="1:6" x14ac:dyDescent="0.3">
      <c r="A291" s="15">
        <v>4</v>
      </c>
      <c r="B291" s="12">
        <v>1</v>
      </c>
      <c r="C291" s="12" t="s">
        <v>81</v>
      </c>
      <c r="D291" s="15" t="s">
        <v>40</v>
      </c>
      <c r="E291" s="15" t="s">
        <v>9</v>
      </c>
      <c r="F291" s="15" t="s">
        <v>67</v>
      </c>
    </row>
    <row r="292" spans="1:6" x14ac:dyDescent="0.3">
      <c r="A292" s="29" t="s">
        <v>25</v>
      </c>
      <c r="B292" s="29"/>
      <c r="C292" s="29"/>
      <c r="D292" s="29"/>
      <c r="E292" s="29"/>
      <c r="F292" s="29"/>
    </row>
    <row r="293" spans="1:6" x14ac:dyDescent="0.3">
      <c r="A293" s="12">
        <v>1</v>
      </c>
      <c r="B293" s="14">
        <v>2</v>
      </c>
      <c r="C293" s="13" t="s">
        <v>80</v>
      </c>
      <c r="D293" s="8" t="s">
        <v>29</v>
      </c>
      <c r="E293" s="15" t="s">
        <v>42</v>
      </c>
      <c r="F293" s="15" t="s">
        <v>71</v>
      </c>
    </row>
    <row r="294" spans="1:6" x14ac:dyDescent="0.3">
      <c r="A294" s="7">
        <v>1</v>
      </c>
      <c r="B294" s="7">
        <v>2</v>
      </c>
      <c r="C294" s="7" t="s">
        <v>80</v>
      </c>
      <c r="D294" s="4" t="s">
        <v>0</v>
      </c>
      <c r="E294" s="4" t="s">
        <v>41</v>
      </c>
      <c r="F294" s="4" t="s">
        <v>49</v>
      </c>
    </row>
    <row r="295" spans="1:6" x14ac:dyDescent="0.3">
      <c r="A295" s="12">
        <v>1</v>
      </c>
      <c r="B295" s="12">
        <v>2</v>
      </c>
      <c r="C295" s="12" t="s">
        <v>80</v>
      </c>
      <c r="D295" s="15" t="s">
        <v>40</v>
      </c>
      <c r="E295" s="15" t="s">
        <v>9</v>
      </c>
      <c r="F295" s="15" t="s">
        <v>49</v>
      </c>
    </row>
    <row r="296" spans="1:6" x14ac:dyDescent="0.3">
      <c r="A296" s="7">
        <v>1</v>
      </c>
      <c r="B296" s="14">
        <v>1</v>
      </c>
      <c r="C296" s="14" t="s">
        <v>81</v>
      </c>
      <c r="D296" s="8" t="s">
        <v>29</v>
      </c>
      <c r="E296" s="4" t="s">
        <v>42</v>
      </c>
      <c r="F296" s="4" t="s">
        <v>69</v>
      </c>
    </row>
    <row r="297" spans="1:6" x14ac:dyDescent="0.3">
      <c r="A297" s="12">
        <v>1</v>
      </c>
      <c r="B297" s="14">
        <v>1</v>
      </c>
      <c r="C297" s="14" t="s">
        <v>81</v>
      </c>
      <c r="D297" s="8" t="s">
        <v>29</v>
      </c>
      <c r="E297" s="15" t="s">
        <v>42</v>
      </c>
      <c r="F297" s="15" t="s">
        <v>73</v>
      </c>
    </row>
    <row r="298" spans="1:6" x14ac:dyDescent="0.3">
      <c r="A298" s="7">
        <v>1</v>
      </c>
      <c r="B298" s="7">
        <v>2</v>
      </c>
      <c r="C298" s="7" t="s">
        <v>80</v>
      </c>
      <c r="D298" s="4" t="s">
        <v>0</v>
      </c>
      <c r="E298" s="4" t="s">
        <v>41</v>
      </c>
      <c r="F298" s="4" t="s">
        <v>48</v>
      </c>
    </row>
    <row r="299" spans="1:6" x14ac:dyDescent="0.3">
      <c r="A299" s="12">
        <v>1</v>
      </c>
      <c r="B299" s="12">
        <v>2</v>
      </c>
      <c r="C299" s="12" t="s">
        <v>80</v>
      </c>
      <c r="D299" s="15" t="s">
        <v>40</v>
      </c>
      <c r="E299" s="15" t="s">
        <v>9</v>
      </c>
      <c r="F299" s="15" t="s">
        <v>48</v>
      </c>
    </row>
    <row r="300" spans="1:6" x14ac:dyDescent="0.3">
      <c r="A300" s="7">
        <v>1</v>
      </c>
      <c r="B300" s="7">
        <v>2</v>
      </c>
      <c r="C300" s="7" t="s">
        <v>80</v>
      </c>
      <c r="D300" s="4" t="s">
        <v>0</v>
      </c>
      <c r="E300" s="4" t="s">
        <v>41</v>
      </c>
      <c r="F300" s="4" t="s">
        <v>50</v>
      </c>
    </row>
    <row r="301" spans="1:6" x14ac:dyDescent="0.3">
      <c r="A301" s="12">
        <v>1</v>
      </c>
      <c r="B301" s="12">
        <v>1</v>
      </c>
      <c r="C301" s="12" t="s">
        <v>81</v>
      </c>
      <c r="D301" s="15" t="s">
        <v>40</v>
      </c>
      <c r="E301" s="15" t="s">
        <v>10</v>
      </c>
      <c r="F301" s="15" t="s">
        <v>50</v>
      </c>
    </row>
    <row r="302" spans="1:6" x14ac:dyDescent="0.3">
      <c r="A302" s="7">
        <v>1</v>
      </c>
      <c r="B302" s="14">
        <v>2</v>
      </c>
      <c r="C302" s="14" t="s">
        <v>80</v>
      </c>
      <c r="D302" s="8" t="s">
        <v>29</v>
      </c>
      <c r="E302" s="4" t="s">
        <v>42</v>
      </c>
      <c r="F302" s="4" t="s">
        <v>70</v>
      </c>
    </row>
    <row r="303" spans="1:6" x14ac:dyDescent="0.3">
      <c r="A303" s="12">
        <v>1</v>
      </c>
      <c r="B303" s="12">
        <v>1</v>
      </c>
      <c r="C303" s="12" t="s">
        <v>81</v>
      </c>
      <c r="D303" s="15" t="s">
        <v>0</v>
      </c>
      <c r="E303" s="15" t="s">
        <v>41</v>
      </c>
      <c r="F303" s="15" t="s">
        <v>43</v>
      </c>
    </row>
    <row r="304" spans="1:6" x14ac:dyDescent="0.3">
      <c r="A304" s="7">
        <v>1</v>
      </c>
      <c r="B304" s="7">
        <v>2</v>
      </c>
      <c r="C304" s="7" t="s">
        <v>80</v>
      </c>
      <c r="D304" s="4" t="s">
        <v>40</v>
      </c>
      <c r="E304" s="4" t="s">
        <v>10</v>
      </c>
      <c r="F304" s="4" t="s">
        <v>43</v>
      </c>
    </row>
    <row r="305" spans="1:6" x14ac:dyDescent="0.3">
      <c r="A305" s="12">
        <v>1</v>
      </c>
      <c r="B305" s="12">
        <v>2</v>
      </c>
      <c r="C305" s="12" t="s">
        <v>80</v>
      </c>
      <c r="D305" s="15" t="s">
        <v>0</v>
      </c>
      <c r="E305" s="15" t="s">
        <v>41</v>
      </c>
      <c r="F305" s="15" t="s">
        <v>46</v>
      </c>
    </row>
    <row r="306" spans="1:6" x14ac:dyDescent="0.3">
      <c r="A306" s="7">
        <v>1</v>
      </c>
      <c r="B306" s="7">
        <v>1</v>
      </c>
      <c r="C306" s="7" t="s">
        <v>81</v>
      </c>
      <c r="D306" s="4" t="s">
        <v>40</v>
      </c>
      <c r="E306" s="4" t="s">
        <v>10</v>
      </c>
      <c r="F306" s="4" t="s">
        <v>46</v>
      </c>
    </row>
    <row r="307" spans="1:6" x14ac:dyDescent="0.3">
      <c r="A307" s="12">
        <v>1</v>
      </c>
      <c r="B307" s="14">
        <v>1</v>
      </c>
      <c r="C307" s="13" t="s">
        <v>81</v>
      </c>
      <c r="D307" s="8" t="s">
        <v>29</v>
      </c>
      <c r="E307" s="15" t="s">
        <v>42</v>
      </c>
      <c r="F307" s="15" t="s">
        <v>74</v>
      </c>
    </row>
    <row r="308" spans="1:6" x14ac:dyDescent="0.3">
      <c r="A308" s="7">
        <v>1</v>
      </c>
      <c r="B308" s="14">
        <v>2</v>
      </c>
      <c r="C308" s="14" t="s">
        <v>80</v>
      </c>
      <c r="D308" s="8" t="s">
        <v>29</v>
      </c>
      <c r="E308" s="4" t="s">
        <v>42</v>
      </c>
      <c r="F308" s="4" t="s">
        <v>67</v>
      </c>
    </row>
    <row r="309" spans="1:6" x14ac:dyDescent="0.3">
      <c r="A309" s="12">
        <v>1</v>
      </c>
      <c r="B309" s="12">
        <v>1</v>
      </c>
      <c r="C309" s="12" t="s">
        <v>81</v>
      </c>
      <c r="D309" s="15" t="s">
        <v>0</v>
      </c>
      <c r="E309" s="15" t="s">
        <v>41</v>
      </c>
      <c r="F309" s="15" t="s">
        <v>44</v>
      </c>
    </row>
    <row r="310" spans="1:6" x14ac:dyDescent="0.3">
      <c r="A310" s="7">
        <v>1</v>
      </c>
      <c r="B310" s="7">
        <v>1</v>
      </c>
      <c r="C310" s="12" t="s">
        <v>81</v>
      </c>
      <c r="D310" s="4" t="s">
        <v>40</v>
      </c>
      <c r="E310" s="4" t="s">
        <v>9</v>
      </c>
      <c r="F310" s="4" t="s">
        <v>44</v>
      </c>
    </row>
    <row r="311" spans="1:6" x14ac:dyDescent="0.3">
      <c r="A311" s="12">
        <v>1</v>
      </c>
      <c r="B311" s="14">
        <v>1</v>
      </c>
      <c r="C311" s="13" t="s">
        <v>81</v>
      </c>
      <c r="D311" s="8" t="s">
        <v>29</v>
      </c>
      <c r="E311" s="15" t="s">
        <v>42</v>
      </c>
      <c r="F311" s="15" t="s">
        <v>72</v>
      </c>
    </row>
    <row r="312" spans="1:6" x14ac:dyDescent="0.3">
      <c r="A312" s="7">
        <v>1</v>
      </c>
      <c r="B312" s="14">
        <v>2</v>
      </c>
      <c r="C312" s="14" t="s">
        <v>80</v>
      </c>
      <c r="D312" s="8" t="s">
        <v>29</v>
      </c>
      <c r="E312" s="4" t="s">
        <v>42</v>
      </c>
      <c r="F312" s="4" t="s">
        <v>68</v>
      </c>
    </row>
    <row r="313" spans="1:6" x14ac:dyDescent="0.3">
      <c r="A313" s="12">
        <v>1</v>
      </c>
      <c r="B313" s="12">
        <v>1</v>
      </c>
      <c r="C313" s="12" t="s">
        <v>81</v>
      </c>
      <c r="D313" s="15" t="s">
        <v>0</v>
      </c>
      <c r="E313" s="15" t="s">
        <v>41</v>
      </c>
      <c r="F313" s="15" t="s">
        <v>45</v>
      </c>
    </row>
    <row r="314" spans="1:6" x14ac:dyDescent="0.3">
      <c r="A314" s="7">
        <v>1</v>
      </c>
      <c r="B314" s="7">
        <v>1</v>
      </c>
      <c r="C314" s="12" t="s">
        <v>81</v>
      </c>
      <c r="D314" s="4" t="s">
        <v>40</v>
      </c>
      <c r="E314" s="4" t="s">
        <v>9</v>
      </c>
      <c r="F314" s="4" t="s">
        <v>45</v>
      </c>
    </row>
    <row r="315" spans="1:6" x14ac:dyDescent="0.3">
      <c r="A315" s="12">
        <v>1</v>
      </c>
      <c r="B315" s="12">
        <v>1</v>
      </c>
      <c r="C315" s="12" t="s">
        <v>81</v>
      </c>
      <c r="D315" s="15" t="s">
        <v>0</v>
      </c>
      <c r="E315" s="15" t="s">
        <v>41</v>
      </c>
      <c r="F315" s="15" t="s">
        <v>47</v>
      </c>
    </row>
    <row r="316" spans="1:6" x14ac:dyDescent="0.3">
      <c r="A316" s="7">
        <v>1</v>
      </c>
      <c r="B316" s="7">
        <v>2</v>
      </c>
      <c r="C316" s="7" t="s">
        <v>80</v>
      </c>
      <c r="D316" s="4" t="s">
        <v>40</v>
      </c>
      <c r="E316" s="4" t="s">
        <v>10</v>
      </c>
      <c r="F316" s="4" t="s">
        <v>47</v>
      </c>
    </row>
    <row r="317" spans="1:6" x14ac:dyDescent="0.3">
      <c r="A317" s="27">
        <v>2</v>
      </c>
      <c r="B317" s="28">
        <v>1</v>
      </c>
      <c r="C317" s="27" t="s">
        <v>81</v>
      </c>
      <c r="D317" s="27" t="s">
        <v>0</v>
      </c>
      <c r="E317" s="27" t="s">
        <v>41</v>
      </c>
      <c r="F317" s="27" t="s">
        <v>52</v>
      </c>
    </row>
    <row r="318" spans="1:6" x14ac:dyDescent="0.3">
      <c r="A318" s="15">
        <v>2</v>
      </c>
      <c r="B318" s="12">
        <v>1</v>
      </c>
      <c r="C318" s="15" t="s">
        <v>81</v>
      </c>
      <c r="D318" s="15" t="s">
        <v>40</v>
      </c>
      <c r="E318" s="15" t="s">
        <v>9</v>
      </c>
      <c r="F318" s="15" t="s">
        <v>52</v>
      </c>
    </row>
    <row r="319" spans="1:6" x14ac:dyDescent="0.3">
      <c r="A319" s="27">
        <v>2</v>
      </c>
      <c r="B319" s="9">
        <v>2</v>
      </c>
      <c r="C319" s="9" t="s">
        <v>80</v>
      </c>
      <c r="D319" s="9" t="s">
        <v>29</v>
      </c>
      <c r="E319" s="27" t="s">
        <v>42</v>
      </c>
      <c r="F319" s="27" t="s">
        <v>49</v>
      </c>
    </row>
    <row r="320" spans="1:6" x14ac:dyDescent="0.3">
      <c r="A320" s="15">
        <v>2</v>
      </c>
      <c r="B320" s="9">
        <v>2</v>
      </c>
      <c r="C320" s="9" t="s">
        <v>80</v>
      </c>
      <c r="D320" s="9" t="s">
        <v>29</v>
      </c>
      <c r="E320" s="15" t="s">
        <v>42</v>
      </c>
      <c r="F320" s="15" t="s">
        <v>48</v>
      </c>
    </row>
    <row r="321" spans="1:6" x14ac:dyDescent="0.3">
      <c r="A321" s="27">
        <v>2</v>
      </c>
      <c r="B321" s="28">
        <v>1</v>
      </c>
      <c r="C321" s="28" t="s">
        <v>81</v>
      </c>
      <c r="D321" s="27" t="s">
        <v>0</v>
      </c>
      <c r="E321" s="27" t="s">
        <v>41</v>
      </c>
      <c r="F321" s="27" t="s">
        <v>53</v>
      </c>
    </row>
    <row r="322" spans="1:6" x14ac:dyDescent="0.3">
      <c r="A322" s="15">
        <v>2</v>
      </c>
      <c r="B322" s="12">
        <v>1</v>
      </c>
      <c r="C322" s="12" t="s">
        <v>81</v>
      </c>
      <c r="D322" s="15" t="s">
        <v>40</v>
      </c>
      <c r="E322" s="15" t="s">
        <v>9</v>
      </c>
      <c r="F322" s="15" t="s">
        <v>53</v>
      </c>
    </row>
    <row r="323" spans="1:6" x14ac:dyDescent="0.3">
      <c r="A323" s="27">
        <v>2</v>
      </c>
      <c r="B323" s="28">
        <v>1</v>
      </c>
      <c r="C323" s="28" t="s">
        <v>81</v>
      </c>
      <c r="D323" s="27" t="s">
        <v>0</v>
      </c>
      <c r="E323" s="27" t="s">
        <v>41</v>
      </c>
      <c r="F323" s="27" t="s">
        <v>55</v>
      </c>
    </row>
    <row r="324" spans="1:6" x14ac:dyDescent="0.3">
      <c r="A324" s="15">
        <v>2</v>
      </c>
      <c r="B324" s="12">
        <v>2</v>
      </c>
      <c r="C324" s="12" t="s">
        <v>80</v>
      </c>
      <c r="D324" s="15" t="s">
        <v>40</v>
      </c>
      <c r="E324" s="15" t="s">
        <v>10</v>
      </c>
      <c r="F324" s="15" t="s">
        <v>55</v>
      </c>
    </row>
    <row r="325" spans="1:6" x14ac:dyDescent="0.3">
      <c r="A325" s="27">
        <v>2</v>
      </c>
      <c r="B325" s="9">
        <v>1</v>
      </c>
      <c r="C325" s="9" t="s">
        <v>81</v>
      </c>
      <c r="D325" s="9" t="s">
        <v>29</v>
      </c>
      <c r="E325" s="27" t="s">
        <v>42</v>
      </c>
      <c r="F325" s="27" t="s">
        <v>50</v>
      </c>
    </row>
    <row r="326" spans="1:6" x14ac:dyDescent="0.3">
      <c r="A326" s="15">
        <v>2</v>
      </c>
      <c r="B326" s="12">
        <v>2</v>
      </c>
      <c r="C326" s="12" t="s">
        <v>80</v>
      </c>
      <c r="D326" s="15" t="s">
        <v>0</v>
      </c>
      <c r="E326" s="15" t="s">
        <v>41</v>
      </c>
      <c r="F326" s="15" t="s">
        <v>54</v>
      </c>
    </row>
    <row r="327" spans="1:6" x14ac:dyDescent="0.3">
      <c r="A327" s="27">
        <v>2</v>
      </c>
      <c r="B327" s="28">
        <v>1</v>
      </c>
      <c r="C327" s="28" t="s">
        <v>81</v>
      </c>
      <c r="D327" s="27" t="s">
        <v>40</v>
      </c>
      <c r="E327" s="27" t="s">
        <v>10</v>
      </c>
      <c r="F327" s="27" t="s">
        <v>54</v>
      </c>
    </row>
    <row r="328" spans="1:6" x14ac:dyDescent="0.3">
      <c r="A328" s="15">
        <v>2</v>
      </c>
      <c r="B328" s="12">
        <v>1</v>
      </c>
      <c r="C328" s="12" t="s">
        <v>81</v>
      </c>
      <c r="D328" s="15" t="s">
        <v>0</v>
      </c>
      <c r="E328" s="15" t="s">
        <v>41</v>
      </c>
      <c r="F328" s="15" t="s">
        <v>51</v>
      </c>
    </row>
    <row r="329" spans="1:6" x14ac:dyDescent="0.3">
      <c r="A329" s="27">
        <v>2</v>
      </c>
      <c r="B329" s="28">
        <v>2</v>
      </c>
      <c r="C329" s="28" t="s">
        <v>80</v>
      </c>
      <c r="D329" s="27" t="s">
        <v>40</v>
      </c>
      <c r="E329" s="27" t="s">
        <v>10</v>
      </c>
      <c r="F329" s="27" t="s">
        <v>51</v>
      </c>
    </row>
    <row r="330" spans="1:6" x14ac:dyDescent="0.3">
      <c r="A330" s="15">
        <v>2</v>
      </c>
      <c r="B330" s="9">
        <v>2</v>
      </c>
      <c r="C330" s="9" t="s">
        <v>80</v>
      </c>
      <c r="D330" s="9" t="s">
        <v>29</v>
      </c>
      <c r="E330" s="15" t="s">
        <v>42</v>
      </c>
      <c r="F330" s="15" t="s">
        <v>43</v>
      </c>
    </row>
    <row r="331" spans="1:6" x14ac:dyDescent="0.3">
      <c r="A331" s="27">
        <v>2</v>
      </c>
      <c r="B331" s="9">
        <v>1</v>
      </c>
      <c r="C331" s="9" t="s">
        <v>81</v>
      </c>
      <c r="D331" s="9" t="s">
        <v>29</v>
      </c>
      <c r="E331" s="27" t="s">
        <v>42</v>
      </c>
      <c r="F331" s="27" t="s">
        <v>46</v>
      </c>
    </row>
    <row r="332" spans="1:6" x14ac:dyDescent="0.3">
      <c r="A332" s="15">
        <v>2</v>
      </c>
      <c r="B332" s="12">
        <v>2</v>
      </c>
      <c r="C332" s="12" t="s">
        <v>80</v>
      </c>
      <c r="D332" s="15" t="s">
        <v>0</v>
      </c>
      <c r="E332" s="15" t="s">
        <v>41</v>
      </c>
      <c r="F332" s="15" t="s">
        <v>57</v>
      </c>
    </row>
    <row r="333" spans="1:6" x14ac:dyDescent="0.3">
      <c r="A333" s="27">
        <v>2</v>
      </c>
      <c r="B333" s="28">
        <v>2</v>
      </c>
      <c r="C333" s="28" t="s">
        <v>80</v>
      </c>
      <c r="D333" s="27" t="s">
        <v>40</v>
      </c>
      <c r="E333" s="27" t="s">
        <v>9</v>
      </c>
      <c r="F333" s="27" t="s">
        <v>57</v>
      </c>
    </row>
    <row r="334" spans="1:6" x14ac:dyDescent="0.3">
      <c r="A334" s="15">
        <v>2</v>
      </c>
      <c r="B334" s="9">
        <v>1</v>
      </c>
      <c r="C334" s="9" t="s">
        <v>81</v>
      </c>
      <c r="D334" s="9" t="s">
        <v>29</v>
      </c>
      <c r="E334" s="15" t="s">
        <v>42</v>
      </c>
      <c r="F334" s="15" t="s">
        <v>44</v>
      </c>
    </row>
    <row r="335" spans="1:6" x14ac:dyDescent="0.3">
      <c r="A335" s="27">
        <v>2</v>
      </c>
      <c r="B335" s="28">
        <v>2</v>
      </c>
      <c r="C335" s="28" t="s">
        <v>80</v>
      </c>
      <c r="D335" s="27" t="s">
        <v>0</v>
      </c>
      <c r="E335" s="27" t="s">
        <v>41</v>
      </c>
      <c r="F335" s="27" t="s">
        <v>58</v>
      </c>
    </row>
    <row r="336" spans="1:6" x14ac:dyDescent="0.3">
      <c r="A336" s="15">
        <v>2</v>
      </c>
      <c r="B336" s="12">
        <v>2</v>
      </c>
      <c r="C336" s="12" t="s">
        <v>80</v>
      </c>
      <c r="D336" s="15" t="s">
        <v>40</v>
      </c>
      <c r="E336" s="15" t="s">
        <v>9</v>
      </c>
      <c r="F336" s="15" t="s">
        <v>58</v>
      </c>
    </row>
    <row r="337" spans="1:6" x14ac:dyDescent="0.3">
      <c r="A337" s="27">
        <v>2</v>
      </c>
      <c r="B337" s="28">
        <v>2</v>
      </c>
      <c r="C337" s="28" t="s">
        <v>80</v>
      </c>
      <c r="D337" s="27" t="s">
        <v>0</v>
      </c>
      <c r="E337" s="27" t="s">
        <v>41</v>
      </c>
      <c r="F337" s="27" t="s">
        <v>56</v>
      </c>
    </row>
    <row r="338" spans="1:6" x14ac:dyDescent="0.3">
      <c r="A338" s="15">
        <v>2</v>
      </c>
      <c r="B338" s="12">
        <v>1</v>
      </c>
      <c r="C338" s="12" t="s">
        <v>81</v>
      </c>
      <c r="D338" s="15" t="s">
        <v>40</v>
      </c>
      <c r="E338" s="15" t="s">
        <v>10</v>
      </c>
      <c r="F338" s="15" t="s">
        <v>56</v>
      </c>
    </row>
    <row r="339" spans="1:6" x14ac:dyDescent="0.3">
      <c r="A339" s="27">
        <v>2</v>
      </c>
      <c r="B339" s="9">
        <v>1</v>
      </c>
      <c r="C339" s="9" t="s">
        <v>81</v>
      </c>
      <c r="D339" s="9" t="s">
        <v>29</v>
      </c>
      <c r="E339" s="27" t="s">
        <v>42</v>
      </c>
      <c r="F339" s="27" t="s">
        <v>45</v>
      </c>
    </row>
    <row r="340" spans="1:6" x14ac:dyDescent="0.3">
      <c r="A340" s="15">
        <v>2</v>
      </c>
      <c r="B340" s="9">
        <v>2</v>
      </c>
      <c r="C340" s="9" t="s">
        <v>80</v>
      </c>
      <c r="D340" s="9" t="s">
        <v>29</v>
      </c>
      <c r="E340" s="15" t="s">
        <v>42</v>
      </c>
      <c r="F340" s="15" t="s">
        <v>47</v>
      </c>
    </row>
    <row r="341" spans="1:6" x14ac:dyDescent="0.3">
      <c r="A341" s="12">
        <v>3</v>
      </c>
      <c r="B341" s="12">
        <v>1</v>
      </c>
      <c r="C341" s="12" t="s">
        <v>81</v>
      </c>
      <c r="D341" s="15" t="s">
        <v>0</v>
      </c>
      <c r="E341" s="15" t="s">
        <v>41</v>
      </c>
      <c r="F341" s="15" t="s">
        <v>62</v>
      </c>
    </row>
    <row r="342" spans="1:6" x14ac:dyDescent="0.3">
      <c r="A342" s="7">
        <v>3</v>
      </c>
      <c r="B342" s="7">
        <v>2</v>
      </c>
      <c r="C342" s="7" t="s">
        <v>80</v>
      </c>
      <c r="D342" s="4" t="s">
        <v>40</v>
      </c>
      <c r="E342" s="4" t="s">
        <v>10</v>
      </c>
      <c r="F342" s="4" t="s">
        <v>62</v>
      </c>
    </row>
    <row r="343" spans="1:6" x14ac:dyDescent="0.3">
      <c r="A343" s="12">
        <v>3</v>
      </c>
      <c r="B343" s="10">
        <v>2</v>
      </c>
      <c r="C343" s="10" t="s">
        <v>80</v>
      </c>
      <c r="D343" s="10" t="s">
        <v>29</v>
      </c>
      <c r="E343" s="15" t="s">
        <v>42</v>
      </c>
      <c r="F343" s="15" t="s">
        <v>52</v>
      </c>
    </row>
    <row r="344" spans="1:6" x14ac:dyDescent="0.3">
      <c r="A344" s="7">
        <v>3</v>
      </c>
      <c r="B344" s="10">
        <v>1</v>
      </c>
      <c r="C344" s="10" t="s">
        <v>81</v>
      </c>
      <c r="D344" s="10" t="s">
        <v>29</v>
      </c>
      <c r="E344" s="4" t="s">
        <v>42</v>
      </c>
      <c r="F344" s="4" t="s">
        <v>53</v>
      </c>
    </row>
    <row r="345" spans="1:6" x14ac:dyDescent="0.3">
      <c r="A345" s="12">
        <v>3</v>
      </c>
      <c r="B345" s="12">
        <v>2</v>
      </c>
      <c r="C345" s="12" t="s">
        <v>80</v>
      </c>
      <c r="D345" s="15" t="s">
        <v>0</v>
      </c>
      <c r="E345" s="15" t="s">
        <v>41</v>
      </c>
      <c r="F345" s="15" t="s">
        <v>65</v>
      </c>
    </row>
    <row r="346" spans="1:6" x14ac:dyDescent="0.3">
      <c r="A346" s="7">
        <v>3</v>
      </c>
      <c r="B346" s="7">
        <v>1</v>
      </c>
      <c r="C346" s="7" t="s">
        <v>81</v>
      </c>
      <c r="D346" s="4" t="s">
        <v>40</v>
      </c>
      <c r="E346" s="4" t="s">
        <v>10</v>
      </c>
      <c r="F346" s="4" t="s">
        <v>65</v>
      </c>
    </row>
    <row r="347" spans="1:6" x14ac:dyDescent="0.3">
      <c r="A347" s="12">
        <v>3</v>
      </c>
      <c r="B347" s="12">
        <v>1</v>
      </c>
      <c r="C347" s="12" t="s">
        <v>81</v>
      </c>
      <c r="D347" s="15" t="s">
        <v>0</v>
      </c>
      <c r="E347" s="15" t="s">
        <v>41</v>
      </c>
      <c r="F347" s="15" t="s">
        <v>60</v>
      </c>
    </row>
    <row r="348" spans="1:6" x14ac:dyDescent="0.3">
      <c r="A348" s="7">
        <v>3</v>
      </c>
      <c r="B348" s="7">
        <v>2</v>
      </c>
      <c r="C348" s="7" t="s">
        <v>80</v>
      </c>
      <c r="D348" s="4" t="s">
        <v>40</v>
      </c>
      <c r="E348" s="4" t="s">
        <v>10</v>
      </c>
      <c r="F348" s="4" t="s">
        <v>60</v>
      </c>
    </row>
    <row r="349" spans="1:6" x14ac:dyDescent="0.3">
      <c r="A349" s="12">
        <v>3</v>
      </c>
      <c r="B349" s="10">
        <v>1</v>
      </c>
      <c r="C349" s="10" t="s">
        <v>81</v>
      </c>
      <c r="D349" s="10" t="s">
        <v>29</v>
      </c>
      <c r="E349" s="15" t="s">
        <v>42</v>
      </c>
      <c r="F349" s="15" t="s">
        <v>55</v>
      </c>
    </row>
    <row r="350" spans="1:6" x14ac:dyDescent="0.3">
      <c r="A350" s="7">
        <v>3</v>
      </c>
      <c r="B350" s="7">
        <v>2</v>
      </c>
      <c r="C350" s="7" t="s">
        <v>80</v>
      </c>
      <c r="D350" s="4" t="s">
        <v>0</v>
      </c>
      <c r="E350" s="4" t="s">
        <v>41</v>
      </c>
      <c r="F350" s="4" t="s">
        <v>64</v>
      </c>
    </row>
    <row r="351" spans="1:6" x14ac:dyDescent="0.3">
      <c r="A351" s="12">
        <v>3</v>
      </c>
      <c r="B351" s="12">
        <v>2</v>
      </c>
      <c r="C351" s="12" t="s">
        <v>80</v>
      </c>
      <c r="D351" s="15" t="s">
        <v>40</v>
      </c>
      <c r="E351" s="15" t="s">
        <v>9</v>
      </c>
      <c r="F351" s="15" t="s">
        <v>64</v>
      </c>
    </row>
    <row r="352" spans="1:6" x14ac:dyDescent="0.3">
      <c r="A352" s="7">
        <v>3</v>
      </c>
      <c r="B352" s="10">
        <v>1</v>
      </c>
      <c r="C352" s="10" t="s">
        <v>81</v>
      </c>
      <c r="D352" s="10" t="s">
        <v>29</v>
      </c>
      <c r="E352" s="4" t="s">
        <v>42</v>
      </c>
      <c r="F352" s="4" t="s">
        <v>54</v>
      </c>
    </row>
    <row r="353" spans="1:6" x14ac:dyDescent="0.3">
      <c r="A353" s="12">
        <v>3</v>
      </c>
      <c r="B353" s="10">
        <v>2</v>
      </c>
      <c r="C353" s="10" t="s">
        <v>80</v>
      </c>
      <c r="D353" s="10" t="s">
        <v>29</v>
      </c>
      <c r="E353" s="15" t="s">
        <v>42</v>
      </c>
      <c r="F353" s="15" t="s">
        <v>51</v>
      </c>
    </row>
    <row r="354" spans="1:6" x14ac:dyDescent="0.3">
      <c r="A354" s="7">
        <v>3</v>
      </c>
      <c r="B354" s="10">
        <v>1</v>
      </c>
      <c r="C354" s="10" t="s">
        <v>81</v>
      </c>
      <c r="D354" s="10" t="s">
        <v>29</v>
      </c>
      <c r="E354" s="4" t="s">
        <v>42</v>
      </c>
      <c r="F354" s="4" t="s">
        <v>57</v>
      </c>
    </row>
    <row r="355" spans="1:6" x14ac:dyDescent="0.3">
      <c r="A355" s="12">
        <v>3</v>
      </c>
      <c r="B355" s="12">
        <v>2</v>
      </c>
      <c r="C355" s="12" t="s">
        <v>80</v>
      </c>
      <c r="D355" s="15" t="s">
        <v>0</v>
      </c>
      <c r="E355" s="15" t="s">
        <v>41</v>
      </c>
      <c r="F355" s="15" t="s">
        <v>66</v>
      </c>
    </row>
    <row r="356" spans="1:6" x14ac:dyDescent="0.3">
      <c r="A356" s="7">
        <v>3</v>
      </c>
      <c r="B356" s="7">
        <v>2</v>
      </c>
      <c r="C356" s="7" t="s">
        <v>80</v>
      </c>
      <c r="D356" s="4" t="s">
        <v>40</v>
      </c>
      <c r="E356" s="4" t="s">
        <v>9</v>
      </c>
      <c r="F356" s="4" t="s">
        <v>66</v>
      </c>
    </row>
    <row r="357" spans="1:6" x14ac:dyDescent="0.3">
      <c r="A357" s="12">
        <v>3</v>
      </c>
      <c r="B357" s="12">
        <v>2</v>
      </c>
      <c r="C357" s="12" t="s">
        <v>80</v>
      </c>
      <c r="D357" s="15" t="s">
        <v>0</v>
      </c>
      <c r="E357" s="15" t="s">
        <v>41</v>
      </c>
      <c r="F357" s="15" t="s">
        <v>63</v>
      </c>
    </row>
    <row r="358" spans="1:6" x14ac:dyDescent="0.3">
      <c r="A358" s="7">
        <v>3</v>
      </c>
      <c r="B358" s="7">
        <v>1</v>
      </c>
      <c r="C358" s="7" t="s">
        <v>81</v>
      </c>
      <c r="D358" s="4" t="s">
        <v>40</v>
      </c>
      <c r="E358" s="4" t="s">
        <v>10</v>
      </c>
      <c r="F358" s="4" t="s">
        <v>63</v>
      </c>
    </row>
    <row r="359" spans="1:6" x14ac:dyDescent="0.3">
      <c r="A359" s="28">
        <v>3</v>
      </c>
      <c r="B359" s="28">
        <v>1</v>
      </c>
      <c r="C359" s="28" t="s">
        <v>81</v>
      </c>
      <c r="D359" s="27" t="s">
        <v>0</v>
      </c>
      <c r="E359" s="27" t="s">
        <v>41</v>
      </c>
      <c r="F359" s="27" t="s">
        <v>61</v>
      </c>
    </row>
    <row r="360" spans="1:6" x14ac:dyDescent="0.3">
      <c r="A360" s="12">
        <v>3</v>
      </c>
      <c r="B360" s="12">
        <v>1</v>
      </c>
      <c r="C360" s="12" t="s">
        <v>81</v>
      </c>
      <c r="D360" s="15" t="s">
        <v>40</v>
      </c>
      <c r="E360" s="15" t="s">
        <v>9</v>
      </c>
      <c r="F360" s="15" t="s">
        <v>61</v>
      </c>
    </row>
    <row r="361" spans="1:6" x14ac:dyDescent="0.3">
      <c r="A361" s="28">
        <v>3</v>
      </c>
      <c r="B361" s="10">
        <v>2</v>
      </c>
      <c r="C361" s="10" t="s">
        <v>80</v>
      </c>
      <c r="D361" s="10" t="s">
        <v>29</v>
      </c>
      <c r="E361" s="27" t="s">
        <v>42</v>
      </c>
      <c r="F361" s="27" t="s">
        <v>56</v>
      </c>
    </row>
    <row r="362" spans="1:6" x14ac:dyDescent="0.3">
      <c r="A362" s="12">
        <v>3</v>
      </c>
      <c r="B362" s="12">
        <v>1</v>
      </c>
      <c r="C362" s="12" t="s">
        <v>81</v>
      </c>
      <c r="D362" s="15" t="s">
        <v>0</v>
      </c>
      <c r="E362" s="15" t="s">
        <v>41</v>
      </c>
      <c r="F362" s="15" t="s">
        <v>59</v>
      </c>
    </row>
    <row r="363" spans="1:6" x14ac:dyDescent="0.3">
      <c r="A363" s="28">
        <v>3</v>
      </c>
      <c r="B363" s="28">
        <v>1</v>
      </c>
      <c r="C363" s="28" t="s">
        <v>81</v>
      </c>
      <c r="D363" s="27" t="s">
        <v>40</v>
      </c>
      <c r="E363" s="27" t="s">
        <v>9</v>
      </c>
      <c r="F363" s="27" t="s">
        <v>59</v>
      </c>
    </row>
    <row r="364" spans="1:6" x14ac:dyDescent="0.3">
      <c r="A364" s="12">
        <v>3</v>
      </c>
      <c r="B364" s="10">
        <v>2</v>
      </c>
      <c r="C364" s="10" t="s">
        <v>80</v>
      </c>
      <c r="D364" s="10" t="s">
        <v>29</v>
      </c>
      <c r="E364" s="15" t="s">
        <v>42</v>
      </c>
      <c r="F364" s="15" t="s">
        <v>58</v>
      </c>
    </row>
    <row r="365" spans="1:6" x14ac:dyDescent="0.3">
      <c r="A365" s="27">
        <v>4</v>
      </c>
      <c r="B365" s="28">
        <v>1</v>
      </c>
      <c r="C365" s="28" t="s">
        <v>81</v>
      </c>
      <c r="D365" s="27" t="s">
        <v>0</v>
      </c>
      <c r="E365" s="27" t="s">
        <v>41</v>
      </c>
      <c r="F365" s="27" t="s">
        <v>71</v>
      </c>
    </row>
    <row r="366" spans="1:6" x14ac:dyDescent="0.3">
      <c r="A366" s="15">
        <v>4</v>
      </c>
      <c r="B366" s="12">
        <v>1</v>
      </c>
      <c r="C366" s="12" t="s">
        <v>81</v>
      </c>
      <c r="D366" s="15" t="s">
        <v>40</v>
      </c>
      <c r="E366" s="15" t="s">
        <v>9</v>
      </c>
      <c r="F366" s="15" t="s">
        <v>71</v>
      </c>
    </row>
    <row r="367" spans="1:6" x14ac:dyDescent="0.3">
      <c r="A367" s="27">
        <v>4</v>
      </c>
      <c r="B367" s="11">
        <v>2</v>
      </c>
      <c r="C367" s="11" t="s">
        <v>80</v>
      </c>
      <c r="D367" s="11" t="s">
        <v>29</v>
      </c>
      <c r="E367" s="27" t="s">
        <v>42</v>
      </c>
      <c r="F367" s="27" t="s">
        <v>62</v>
      </c>
    </row>
    <row r="368" spans="1:6" x14ac:dyDescent="0.3">
      <c r="A368" s="15">
        <v>4</v>
      </c>
      <c r="B368" s="12">
        <v>1</v>
      </c>
      <c r="C368" s="12" t="s">
        <v>81</v>
      </c>
      <c r="D368" s="15" t="s">
        <v>0</v>
      </c>
      <c r="E368" s="15" t="s">
        <v>41</v>
      </c>
      <c r="F368" s="15" t="s">
        <v>69</v>
      </c>
    </row>
    <row r="369" spans="1:6" x14ac:dyDescent="0.3">
      <c r="A369" s="27">
        <v>4</v>
      </c>
      <c r="B369" s="28">
        <v>2</v>
      </c>
      <c r="C369" s="28" t="s">
        <v>80</v>
      </c>
      <c r="D369" s="27" t="s">
        <v>40</v>
      </c>
      <c r="E369" s="27" t="s">
        <v>10</v>
      </c>
      <c r="F369" s="27" t="s">
        <v>69</v>
      </c>
    </row>
    <row r="370" spans="1:6" x14ac:dyDescent="0.3">
      <c r="A370" s="15">
        <v>4</v>
      </c>
      <c r="B370" s="12">
        <v>2</v>
      </c>
      <c r="C370" s="12" t="s">
        <v>80</v>
      </c>
      <c r="D370" s="15" t="s">
        <v>0</v>
      </c>
      <c r="E370" s="15" t="s">
        <v>41</v>
      </c>
      <c r="F370" s="15" t="s">
        <v>73</v>
      </c>
    </row>
    <row r="371" spans="1:6" x14ac:dyDescent="0.3">
      <c r="A371" s="27">
        <v>4</v>
      </c>
      <c r="B371" s="28">
        <v>2</v>
      </c>
      <c r="C371" s="28" t="s">
        <v>80</v>
      </c>
      <c r="D371" s="27" t="s">
        <v>40</v>
      </c>
      <c r="E371" s="27" t="s">
        <v>9</v>
      </c>
      <c r="F371" s="27" t="s">
        <v>73</v>
      </c>
    </row>
    <row r="372" spans="1:6" x14ac:dyDescent="0.3">
      <c r="A372" s="15">
        <v>4</v>
      </c>
      <c r="B372" s="11">
        <v>1</v>
      </c>
      <c r="C372" s="11" t="s">
        <v>81</v>
      </c>
      <c r="D372" s="11" t="s">
        <v>29</v>
      </c>
      <c r="E372" s="15" t="s">
        <v>42</v>
      </c>
      <c r="F372" s="15" t="s">
        <v>65</v>
      </c>
    </row>
    <row r="373" spans="1:6" x14ac:dyDescent="0.3">
      <c r="A373" s="27">
        <v>4</v>
      </c>
      <c r="B373" s="11">
        <v>2</v>
      </c>
      <c r="C373" s="11" t="s">
        <v>80</v>
      </c>
      <c r="D373" s="11" t="s">
        <v>29</v>
      </c>
      <c r="E373" s="27" t="s">
        <v>42</v>
      </c>
      <c r="F373" s="27" t="s">
        <v>60</v>
      </c>
    </row>
    <row r="374" spans="1:6" x14ac:dyDescent="0.3">
      <c r="A374" s="15">
        <v>4</v>
      </c>
      <c r="B374" s="12">
        <v>2</v>
      </c>
      <c r="C374" s="12" t="s">
        <v>80</v>
      </c>
      <c r="D374" s="15" t="s">
        <v>0</v>
      </c>
      <c r="E374" s="15" t="s">
        <v>41</v>
      </c>
      <c r="F374" s="15" t="s">
        <v>70</v>
      </c>
    </row>
    <row r="375" spans="1:6" x14ac:dyDescent="0.3">
      <c r="A375" s="27">
        <v>4</v>
      </c>
      <c r="B375" s="28">
        <v>1</v>
      </c>
      <c r="C375" s="28" t="s">
        <v>81</v>
      </c>
      <c r="D375" s="27" t="s">
        <v>40</v>
      </c>
      <c r="E375" s="27" t="s">
        <v>10</v>
      </c>
      <c r="F375" s="27" t="s">
        <v>70</v>
      </c>
    </row>
    <row r="376" spans="1:6" x14ac:dyDescent="0.3">
      <c r="A376" s="15">
        <v>4</v>
      </c>
      <c r="B376" s="12">
        <v>1</v>
      </c>
      <c r="C376" s="12" t="s">
        <v>81</v>
      </c>
      <c r="D376" s="15" t="s">
        <v>0</v>
      </c>
      <c r="E376" s="15" t="s">
        <v>41</v>
      </c>
      <c r="F376" s="15" t="s">
        <v>74</v>
      </c>
    </row>
    <row r="377" spans="1:6" x14ac:dyDescent="0.3">
      <c r="A377" s="27">
        <v>4</v>
      </c>
      <c r="B377" s="28">
        <v>2</v>
      </c>
      <c r="C377" s="28" t="s">
        <v>80</v>
      </c>
      <c r="D377" s="27" t="s">
        <v>40</v>
      </c>
      <c r="E377" s="27" t="s">
        <v>10</v>
      </c>
      <c r="F377" s="27" t="s">
        <v>74</v>
      </c>
    </row>
    <row r="378" spans="1:6" x14ac:dyDescent="0.3">
      <c r="A378" s="15">
        <v>4</v>
      </c>
      <c r="B378" s="11">
        <v>1</v>
      </c>
      <c r="C378" s="11" t="s">
        <v>81</v>
      </c>
      <c r="D378" s="11" t="s">
        <v>29</v>
      </c>
      <c r="E378" s="15" t="s">
        <v>42</v>
      </c>
      <c r="F378" s="15" t="s">
        <v>64</v>
      </c>
    </row>
    <row r="379" spans="1:6" x14ac:dyDescent="0.3">
      <c r="A379" s="27">
        <v>4</v>
      </c>
      <c r="B379" s="28">
        <v>2</v>
      </c>
      <c r="C379" s="28" t="s">
        <v>80</v>
      </c>
      <c r="D379" s="27" t="s">
        <v>0</v>
      </c>
      <c r="E379" s="27" t="s">
        <v>41</v>
      </c>
      <c r="F379" s="27" t="s">
        <v>67</v>
      </c>
    </row>
    <row r="380" spans="1:6" x14ac:dyDescent="0.3">
      <c r="A380" s="15">
        <v>4</v>
      </c>
      <c r="B380" s="12">
        <v>2</v>
      </c>
      <c r="C380" s="12" t="s">
        <v>80</v>
      </c>
      <c r="D380" s="15" t="s">
        <v>40</v>
      </c>
      <c r="E380" s="15" t="s">
        <v>9</v>
      </c>
      <c r="F380" s="15" t="s">
        <v>67</v>
      </c>
    </row>
    <row r="381" spans="1:6" x14ac:dyDescent="0.3">
      <c r="A381" s="27">
        <v>4</v>
      </c>
      <c r="B381" s="11">
        <v>1</v>
      </c>
      <c r="C381" s="11" t="s">
        <v>81</v>
      </c>
      <c r="D381" s="11" t="s">
        <v>29</v>
      </c>
      <c r="E381" s="27" t="s">
        <v>42</v>
      </c>
      <c r="F381" s="27" t="s">
        <v>66</v>
      </c>
    </row>
    <row r="382" spans="1:6" x14ac:dyDescent="0.3">
      <c r="A382" s="15">
        <v>4</v>
      </c>
      <c r="B382" s="12">
        <v>2</v>
      </c>
      <c r="C382" s="12" t="s">
        <v>80</v>
      </c>
      <c r="D382" s="15" t="s">
        <v>0</v>
      </c>
      <c r="E382" s="15" t="s">
        <v>41</v>
      </c>
      <c r="F382" s="15" t="s">
        <v>72</v>
      </c>
    </row>
    <row r="383" spans="1:6" x14ac:dyDescent="0.3">
      <c r="A383" s="27">
        <v>4</v>
      </c>
      <c r="B383" s="28">
        <v>1</v>
      </c>
      <c r="C383" s="28" t="s">
        <v>81</v>
      </c>
      <c r="D383" s="27" t="s">
        <v>40</v>
      </c>
      <c r="E383" s="27" t="s">
        <v>10</v>
      </c>
      <c r="F383" s="27" t="s">
        <v>72</v>
      </c>
    </row>
    <row r="384" spans="1:6" x14ac:dyDescent="0.3">
      <c r="A384" s="15">
        <v>4</v>
      </c>
      <c r="B384" s="12">
        <v>1</v>
      </c>
      <c r="C384" s="12" t="s">
        <v>81</v>
      </c>
      <c r="D384" s="15" t="s">
        <v>0</v>
      </c>
      <c r="E384" s="15" t="s">
        <v>41</v>
      </c>
      <c r="F384" s="15" t="s">
        <v>68</v>
      </c>
    </row>
    <row r="385" spans="1:6" x14ac:dyDescent="0.3">
      <c r="A385" s="27">
        <v>4</v>
      </c>
      <c r="B385" s="28">
        <v>1</v>
      </c>
      <c r="C385" s="28" t="s">
        <v>81</v>
      </c>
      <c r="D385" s="27" t="s">
        <v>40</v>
      </c>
      <c r="E385" s="27" t="s">
        <v>9</v>
      </c>
      <c r="F385" s="27" t="s">
        <v>68</v>
      </c>
    </row>
    <row r="386" spans="1:6" x14ac:dyDescent="0.3">
      <c r="A386" s="15">
        <v>4</v>
      </c>
      <c r="B386" s="11">
        <v>2</v>
      </c>
      <c r="C386" s="11" t="s">
        <v>80</v>
      </c>
      <c r="D386" s="11" t="s">
        <v>29</v>
      </c>
      <c r="E386" s="15" t="s">
        <v>42</v>
      </c>
      <c r="F386" s="15" t="s">
        <v>63</v>
      </c>
    </row>
    <row r="387" spans="1:6" x14ac:dyDescent="0.3">
      <c r="A387" s="27">
        <v>4</v>
      </c>
      <c r="B387" s="11">
        <v>1</v>
      </c>
      <c r="C387" s="11" t="s">
        <v>81</v>
      </c>
      <c r="D387" s="11" t="s">
        <v>29</v>
      </c>
      <c r="E387" s="27" t="s">
        <v>42</v>
      </c>
      <c r="F387" s="27" t="s">
        <v>61</v>
      </c>
    </row>
    <row r="388" spans="1:6" x14ac:dyDescent="0.3">
      <c r="A388" s="15">
        <v>4</v>
      </c>
      <c r="B388" s="11">
        <v>2</v>
      </c>
      <c r="C388" s="11" t="s">
        <v>80</v>
      </c>
      <c r="D388" s="11" t="s">
        <v>29</v>
      </c>
      <c r="E388" s="15" t="s">
        <v>42</v>
      </c>
      <c r="F388" s="15" t="s">
        <v>59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88"/>
  <sheetViews>
    <sheetView zoomScaleNormal="100" workbookViewId="0">
      <selection activeCell="J17" sqref="J17"/>
    </sheetView>
  </sheetViews>
  <sheetFormatPr defaultRowHeight="14.4" x14ac:dyDescent="0.3"/>
  <cols>
    <col min="2" max="2" width="11.6640625" customWidth="1"/>
    <col min="3" max="3" width="11" customWidth="1"/>
    <col min="5" max="5" width="12" customWidth="1"/>
    <col min="6" max="6" width="10.6640625" customWidth="1"/>
  </cols>
  <sheetData>
    <row r="1" spans="1:6" x14ac:dyDescent="0.3">
      <c r="A1" s="21" t="s">
        <v>83</v>
      </c>
      <c r="B1" s="21" t="s">
        <v>75</v>
      </c>
      <c r="C1" s="21" t="s">
        <v>76</v>
      </c>
      <c r="D1" s="21" t="s">
        <v>77</v>
      </c>
      <c r="E1" s="21" t="s">
        <v>78</v>
      </c>
      <c r="F1" s="21" t="s">
        <v>79</v>
      </c>
    </row>
    <row r="2" spans="1:6" x14ac:dyDescent="0.3">
      <c r="A2" s="12">
        <v>1</v>
      </c>
      <c r="B2" s="14">
        <v>2</v>
      </c>
      <c r="C2" s="13" t="s">
        <v>80</v>
      </c>
      <c r="D2" s="8" t="s">
        <v>29</v>
      </c>
      <c r="E2" s="15" t="s">
        <v>42</v>
      </c>
      <c r="F2" s="15" t="s">
        <v>69</v>
      </c>
    </row>
    <row r="3" spans="1:6" x14ac:dyDescent="0.3">
      <c r="A3" s="28">
        <v>1</v>
      </c>
      <c r="B3" s="27">
        <v>2</v>
      </c>
      <c r="C3" s="27" t="s">
        <v>80</v>
      </c>
      <c r="D3" s="27" t="s">
        <v>0</v>
      </c>
      <c r="E3" s="27" t="s">
        <v>41</v>
      </c>
      <c r="F3" s="27" t="s">
        <v>47</v>
      </c>
    </row>
    <row r="4" spans="1:6" x14ac:dyDescent="0.3">
      <c r="A4" s="12">
        <v>1</v>
      </c>
      <c r="B4" s="15">
        <v>2</v>
      </c>
      <c r="C4" s="15" t="s">
        <v>80</v>
      </c>
      <c r="D4" s="15" t="s">
        <v>40</v>
      </c>
      <c r="E4" s="15" t="s">
        <v>9</v>
      </c>
      <c r="F4" s="15" t="s">
        <v>47</v>
      </c>
    </row>
    <row r="5" spans="1:6" x14ac:dyDescent="0.3">
      <c r="A5" s="28">
        <v>1</v>
      </c>
      <c r="B5" s="14">
        <v>1</v>
      </c>
      <c r="C5" s="14" t="s">
        <v>81</v>
      </c>
      <c r="D5" s="8" t="s">
        <v>29</v>
      </c>
      <c r="E5" s="27" t="s">
        <v>42</v>
      </c>
      <c r="F5" s="27" t="s">
        <v>72</v>
      </c>
    </row>
    <row r="6" spans="1:6" x14ac:dyDescent="0.3">
      <c r="A6" s="12">
        <v>1</v>
      </c>
      <c r="B6" s="14">
        <v>2</v>
      </c>
      <c r="C6" s="13" t="s">
        <v>80</v>
      </c>
      <c r="D6" s="8" t="s">
        <v>29</v>
      </c>
      <c r="E6" s="15" t="s">
        <v>42</v>
      </c>
      <c r="F6" s="15" t="s">
        <v>70</v>
      </c>
    </row>
    <row r="7" spans="1:6" x14ac:dyDescent="0.3">
      <c r="A7" s="28">
        <v>1</v>
      </c>
      <c r="B7" s="14">
        <v>1</v>
      </c>
      <c r="C7" s="14" t="s">
        <v>81</v>
      </c>
      <c r="D7" s="8" t="s">
        <v>29</v>
      </c>
      <c r="E7" s="27" t="s">
        <v>42</v>
      </c>
      <c r="F7" s="27" t="s">
        <v>74</v>
      </c>
    </row>
    <row r="8" spans="1:6" x14ac:dyDescent="0.3">
      <c r="A8" s="12">
        <v>1</v>
      </c>
      <c r="B8" s="15">
        <v>2</v>
      </c>
      <c r="C8" s="15" t="s">
        <v>80</v>
      </c>
      <c r="D8" s="15" t="s">
        <v>0</v>
      </c>
      <c r="E8" s="15" t="s">
        <v>41</v>
      </c>
      <c r="F8" s="15" t="s">
        <v>50</v>
      </c>
    </row>
    <row r="9" spans="1:6" x14ac:dyDescent="0.3">
      <c r="A9" s="28">
        <v>1</v>
      </c>
      <c r="B9" s="27">
        <v>2</v>
      </c>
      <c r="C9" s="15" t="s">
        <v>80</v>
      </c>
      <c r="D9" s="27" t="s">
        <v>40</v>
      </c>
      <c r="E9" s="27" t="s">
        <v>9</v>
      </c>
      <c r="F9" s="27" t="s">
        <v>50</v>
      </c>
    </row>
    <row r="10" spans="1:6" x14ac:dyDescent="0.3">
      <c r="A10" s="12">
        <v>1</v>
      </c>
      <c r="B10" s="15">
        <v>2</v>
      </c>
      <c r="C10" s="15" t="s">
        <v>80</v>
      </c>
      <c r="D10" s="15" t="s">
        <v>0</v>
      </c>
      <c r="E10" s="15" t="s">
        <v>41</v>
      </c>
      <c r="F10" s="15" t="s">
        <v>49</v>
      </c>
    </row>
    <row r="11" spans="1:6" x14ac:dyDescent="0.3">
      <c r="A11" s="28">
        <v>1</v>
      </c>
      <c r="B11" s="27">
        <v>1</v>
      </c>
      <c r="C11" s="27" t="s">
        <v>81</v>
      </c>
      <c r="D11" s="27" t="s">
        <v>40</v>
      </c>
      <c r="E11" s="27" t="s">
        <v>10</v>
      </c>
      <c r="F11" s="27" t="s">
        <v>49</v>
      </c>
    </row>
    <row r="12" spans="1:6" x14ac:dyDescent="0.3">
      <c r="A12" s="12">
        <v>1</v>
      </c>
      <c r="B12" s="14">
        <v>1</v>
      </c>
      <c r="C12" s="13" t="s">
        <v>81</v>
      </c>
      <c r="D12" s="8" t="s">
        <v>29</v>
      </c>
      <c r="E12" s="15" t="s">
        <v>42</v>
      </c>
      <c r="F12" s="15" t="s">
        <v>71</v>
      </c>
    </row>
    <row r="13" spans="1:6" x14ac:dyDescent="0.3">
      <c r="A13" s="28">
        <v>1</v>
      </c>
      <c r="B13" s="27">
        <v>1</v>
      </c>
      <c r="C13" s="27" t="s">
        <v>81</v>
      </c>
      <c r="D13" s="27" t="s">
        <v>0</v>
      </c>
      <c r="E13" s="27" t="s">
        <v>41</v>
      </c>
      <c r="F13" s="27" t="s">
        <v>45</v>
      </c>
    </row>
    <row r="14" spans="1:6" x14ac:dyDescent="0.3">
      <c r="A14" s="12">
        <v>1</v>
      </c>
      <c r="B14" s="15">
        <v>2</v>
      </c>
      <c r="C14" s="15" t="s">
        <v>80</v>
      </c>
      <c r="D14" s="15" t="s">
        <v>40</v>
      </c>
      <c r="E14" s="15" t="s">
        <v>10</v>
      </c>
      <c r="F14" s="15" t="s">
        <v>45</v>
      </c>
    </row>
    <row r="15" spans="1:6" x14ac:dyDescent="0.3">
      <c r="A15" s="28">
        <v>1</v>
      </c>
      <c r="B15" s="27">
        <v>2</v>
      </c>
      <c r="C15" s="27" t="s">
        <v>80</v>
      </c>
      <c r="D15" s="27" t="s">
        <v>0</v>
      </c>
      <c r="E15" s="27" t="s">
        <v>41</v>
      </c>
      <c r="F15" s="27" t="s">
        <v>44</v>
      </c>
    </row>
    <row r="16" spans="1:6" x14ac:dyDescent="0.3">
      <c r="A16" s="12">
        <v>1</v>
      </c>
      <c r="B16" s="15">
        <v>1</v>
      </c>
      <c r="C16" s="15" t="s">
        <v>81</v>
      </c>
      <c r="D16" s="15" t="s">
        <v>40</v>
      </c>
      <c r="E16" s="15" t="s">
        <v>10</v>
      </c>
      <c r="F16" s="15" t="s">
        <v>44</v>
      </c>
    </row>
    <row r="17" spans="1:6" x14ac:dyDescent="0.3">
      <c r="A17" s="28">
        <v>1</v>
      </c>
      <c r="B17" s="14">
        <v>2</v>
      </c>
      <c r="C17" s="14" t="s">
        <v>80</v>
      </c>
      <c r="D17" s="8" t="s">
        <v>29</v>
      </c>
      <c r="E17" s="27" t="s">
        <v>42</v>
      </c>
      <c r="F17" s="27" t="s">
        <v>68</v>
      </c>
    </row>
    <row r="18" spans="1:6" x14ac:dyDescent="0.3">
      <c r="A18" s="12">
        <v>1</v>
      </c>
      <c r="B18" s="15">
        <v>1</v>
      </c>
      <c r="C18" s="15" t="s">
        <v>81</v>
      </c>
      <c r="D18" s="15" t="s">
        <v>0</v>
      </c>
      <c r="E18" s="15" t="s">
        <v>41</v>
      </c>
      <c r="F18" s="15" t="s">
        <v>46</v>
      </c>
    </row>
    <row r="19" spans="1:6" x14ac:dyDescent="0.3">
      <c r="A19" s="28">
        <v>1</v>
      </c>
      <c r="B19" s="27">
        <v>1</v>
      </c>
      <c r="C19" s="15" t="s">
        <v>81</v>
      </c>
      <c r="D19" s="27" t="s">
        <v>40</v>
      </c>
      <c r="E19" s="27" t="s">
        <v>9</v>
      </c>
      <c r="F19" s="27" t="s">
        <v>46</v>
      </c>
    </row>
    <row r="20" spans="1:6" x14ac:dyDescent="0.3">
      <c r="A20" s="12">
        <v>1</v>
      </c>
      <c r="B20" s="14">
        <v>1</v>
      </c>
      <c r="C20" s="13" t="s">
        <v>81</v>
      </c>
      <c r="D20" s="8" t="s">
        <v>29</v>
      </c>
      <c r="E20" s="15" t="s">
        <v>42</v>
      </c>
      <c r="F20" s="15" t="s">
        <v>67</v>
      </c>
    </row>
    <row r="21" spans="1:6" x14ac:dyDescent="0.3">
      <c r="A21" s="28">
        <v>1</v>
      </c>
      <c r="B21" s="14">
        <v>2</v>
      </c>
      <c r="C21" s="14" t="s">
        <v>80</v>
      </c>
      <c r="D21" s="8" t="s">
        <v>29</v>
      </c>
      <c r="E21" s="27" t="s">
        <v>42</v>
      </c>
      <c r="F21" s="27" t="s">
        <v>73</v>
      </c>
    </row>
    <row r="22" spans="1:6" x14ac:dyDescent="0.3">
      <c r="A22" s="12">
        <v>1</v>
      </c>
      <c r="B22" s="15">
        <v>1</v>
      </c>
      <c r="C22" s="15" t="s">
        <v>81</v>
      </c>
      <c r="D22" s="15" t="s">
        <v>0</v>
      </c>
      <c r="E22" s="15" t="s">
        <v>41</v>
      </c>
      <c r="F22" s="15" t="s">
        <v>43</v>
      </c>
    </row>
    <row r="23" spans="1:6" x14ac:dyDescent="0.3">
      <c r="A23" s="28">
        <v>1</v>
      </c>
      <c r="B23" s="27">
        <v>1</v>
      </c>
      <c r="C23" s="15" t="s">
        <v>81</v>
      </c>
      <c r="D23" s="27" t="s">
        <v>40</v>
      </c>
      <c r="E23" s="27" t="s">
        <v>9</v>
      </c>
      <c r="F23" s="27" t="s">
        <v>43</v>
      </c>
    </row>
    <row r="24" spans="1:6" x14ac:dyDescent="0.3">
      <c r="A24" s="12">
        <v>1</v>
      </c>
      <c r="B24" s="15">
        <v>1</v>
      </c>
      <c r="C24" s="15" t="s">
        <v>81</v>
      </c>
      <c r="D24" s="15" t="s">
        <v>0</v>
      </c>
      <c r="E24" s="15" t="s">
        <v>41</v>
      </c>
      <c r="F24" s="15" t="s">
        <v>48</v>
      </c>
    </row>
    <row r="25" spans="1:6" x14ac:dyDescent="0.3">
      <c r="A25" s="28">
        <v>1</v>
      </c>
      <c r="B25" s="27">
        <v>2</v>
      </c>
      <c r="C25" s="27" t="s">
        <v>80</v>
      </c>
      <c r="D25" s="27" t="s">
        <v>40</v>
      </c>
      <c r="E25" s="27" t="s">
        <v>10</v>
      </c>
      <c r="F25" s="27" t="s">
        <v>48</v>
      </c>
    </row>
    <row r="26" spans="1:6" x14ac:dyDescent="0.3">
      <c r="A26" s="4">
        <v>2</v>
      </c>
      <c r="B26" s="4">
        <v>1</v>
      </c>
      <c r="C26" s="4" t="s">
        <v>81</v>
      </c>
      <c r="D26" s="4" t="s">
        <v>0</v>
      </c>
      <c r="E26" s="4" t="s">
        <v>41</v>
      </c>
      <c r="F26" s="4" t="s">
        <v>51</v>
      </c>
    </row>
    <row r="27" spans="1:6" x14ac:dyDescent="0.3">
      <c r="A27" s="15">
        <v>2</v>
      </c>
      <c r="B27" s="15">
        <v>1</v>
      </c>
      <c r="C27" s="15" t="s">
        <v>81</v>
      </c>
      <c r="D27" s="15" t="s">
        <v>40</v>
      </c>
      <c r="E27" s="15" t="s">
        <v>9</v>
      </c>
      <c r="F27" s="15" t="s">
        <v>51</v>
      </c>
    </row>
    <row r="28" spans="1:6" x14ac:dyDescent="0.3">
      <c r="A28" s="4">
        <v>2</v>
      </c>
      <c r="B28" s="9">
        <v>2</v>
      </c>
      <c r="C28" s="9" t="s">
        <v>80</v>
      </c>
      <c r="D28" s="9" t="s">
        <v>29</v>
      </c>
      <c r="E28" s="4" t="s">
        <v>42</v>
      </c>
      <c r="F28" s="4" t="s">
        <v>47</v>
      </c>
    </row>
    <row r="29" spans="1:6" x14ac:dyDescent="0.3">
      <c r="A29" s="15">
        <v>2</v>
      </c>
      <c r="B29" s="15">
        <v>1</v>
      </c>
      <c r="C29" s="15" t="s">
        <v>81</v>
      </c>
      <c r="D29" s="15" t="s">
        <v>0</v>
      </c>
      <c r="E29" s="15" t="s">
        <v>41</v>
      </c>
      <c r="F29" s="15" t="s">
        <v>55</v>
      </c>
    </row>
    <row r="30" spans="1:6" x14ac:dyDescent="0.3">
      <c r="A30" s="4">
        <v>2</v>
      </c>
      <c r="B30" s="4">
        <v>1</v>
      </c>
      <c r="C30" s="4" t="s">
        <v>81</v>
      </c>
      <c r="D30" s="4" t="s">
        <v>40</v>
      </c>
      <c r="E30" s="4" t="s">
        <v>9</v>
      </c>
      <c r="F30" s="4" t="s">
        <v>55</v>
      </c>
    </row>
    <row r="31" spans="1:6" x14ac:dyDescent="0.3">
      <c r="A31" s="15">
        <v>2</v>
      </c>
      <c r="B31" s="9">
        <v>2</v>
      </c>
      <c r="C31" s="9" t="s">
        <v>80</v>
      </c>
      <c r="D31" s="9" t="s">
        <v>29</v>
      </c>
      <c r="E31" s="15" t="s">
        <v>42</v>
      </c>
      <c r="F31" s="15" t="s">
        <v>50</v>
      </c>
    </row>
    <row r="32" spans="1:6" x14ac:dyDescent="0.3">
      <c r="A32" s="15">
        <v>2</v>
      </c>
      <c r="B32" s="15">
        <v>1</v>
      </c>
      <c r="C32" s="15" t="s">
        <v>81</v>
      </c>
      <c r="D32" s="15" t="s">
        <v>0</v>
      </c>
      <c r="E32" s="15" t="s">
        <v>41</v>
      </c>
      <c r="F32" s="15" t="s">
        <v>53</v>
      </c>
    </row>
    <row r="33" spans="1:6" x14ac:dyDescent="0.3">
      <c r="A33" s="27">
        <v>2</v>
      </c>
      <c r="B33" s="27">
        <v>1</v>
      </c>
      <c r="C33" s="27" t="s">
        <v>80</v>
      </c>
      <c r="D33" s="27" t="s">
        <v>40</v>
      </c>
      <c r="E33" s="27" t="s">
        <v>10</v>
      </c>
      <c r="F33" s="27" t="s">
        <v>53</v>
      </c>
    </row>
    <row r="34" spans="1:6" x14ac:dyDescent="0.3">
      <c r="A34" s="4">
        <v>2</v>
      </c>
      <c r="B34" s="4">
        <v>2</v>
      </c>
      <c r="C34" s="4" t="s">
        <v>80</v>
      </c>
      <c r="D34" s="4" t="s">
        <v>0</v>
      </c>
      <c r="E34" s="4" t="s">
        <v>41</v>
      </c>
      <c r="F34" s="4" t="s">
        <v>57</v>
      </c>
    </row>
    <row r="35" spans="1:6" x14ac:dyDescent="0.3">
      <c r="A35" s="15">
        <v>2</v>
      </c>
      <c r="B35" s="15">
        <v>1</v>
      </c>
      <c r="C35" s="15" t="s">
        <v>81</v>
      </c>
      <c r="D35" s="15" t="s">
        <v>40</v>
      </c>
      <c r="E35" s="15" t="s">
        <v>10</v>
      </c>
      <c r="F35" s="15" t="s">
        <v>57</v>
      </c>
    </row>
    <row r="36" spans="1:6" x14ac:dyDescent="0.3">
      <c r="A36" s="4">
        <v>2</v>
      </c>
      <c r="B36" s="9">
        <v>1</v>
      </c>
      <c r="C36" s="9" t="s">
        <v>81</v>
      </c>
      <c r="D36" s="9" t="s">
        <v>29</v>
      </c>
      <c r="E36" s="4" t="s">
        <v>42</v>
      </c>
      <c r="F36" s="4" t="s">
        <v>49</v>
      </c>
    </row>
    <row r="37" spans="1:6" x14ac:dyDescent="0.3">
      <c r="A37" s="15">
        <v>2</v>
      </c>
      <c r="B37" s="9">
        <v>2</v>
      </c>
      <c r="C37" s="9" t="s">
        <v>80</v>
      </c>
      <c r="D37" s="9" t="s">
        <v>29</v>
      </c>
      <c r="E37" s="15" t="s">
        <v>42</v>
      </c>
      <c r="F37" s="15" t="s">
        <v>45</v>
      </c>
    </row>
    <row r="38" spans="1:6" x14ac:dyDescent="0.3">
      <c r="A38" s="4">
        <v>2</v>
      </c>
      <c r="B38" s="9">
        <v>1</v>
      </c>
      <c r="C38" s="9" t="s">
        <v>81</v>
      </c>
      <c r="D38" s="9" t="s">
        <v>29</v>
      </c>
      <c r="E38" s="4" t="s">
        <v>42</v>
      </c>
      <c r="F38" s="4" t="s">
        <v>44</v>
      </c>
    </row>
    <row r="39" spans="1:6" x14ac:dyDescent="0.3">
      <c r="A39" s="15">
        <v>2</v>
      </c>
      <c r="B39" s="15">
        <v>1</v>
      </c>
      <c r="C39" s="15" t="s">
        <v>81</v>
      </c>
      <c r="D39" s="15" t="s">
        <v>0</v>
      </c>
      <c r="E39" s="15" t="s">
        <v>41</v>
      </c>
      <c r="F39" s="15" t="s">
        <v>52</v>
      </c>
    </row>
    <row r="40" spans="1:6" x14ac:dyDescent="0.3">
      <c r="A40" s="4">
        <v>2</v>
      </c>
      <c r="B40" s="4">
        <v>2</v>
      </c>
      <c r="C40" s="4" t="s">
        <v>80</v>
      </c>
      <c r="D40" s="4" t="s">
        <v>40</v>
      </c>
      <c r="E40" s="4" t="s">
        <v>10</v>
      </c>
      <c r="F40" s="4" t="s">
        <v>52</v>
      </c>
    </row>
    <row r="41" spans="1:6" x14ac:dyDescent="0.3">
      <c r="A41" s="15">
        <v>2</v>
      </c>
      <c r="B41" s="15">
        <v>2</v>
      </c>
      <c r="C41" s="15" t="s">
        <v>80</v>
      </c>
      <c r="D41" s="15" t="s">
        <v>0</v>
      </c>
      <c r="E41" s="15" t="s">
        <v>41</v>
      </c>
      <c r="F41" s="15" t="s">
        <v>56</v>
      </c>
    </row>
    <row r="42" spans="1:6" x14ac:dyDescent="0.3">
      <c r="A42" s="4">
        <v>2</v>
      </c>
      <c r="B42" s="4">
        <v>2</v>
      </c>
      <c r="C42" s="4" t="s">
        <v>80</v>
      </c>
      <c r="D42" s="4" t="s">
        <v>40</v>
      </c>
      <c r="E42" s="4" t="s">
        <v>9</v>
      </c>
      <c r="F42" s="4" t="s">
        <v>56</v>
      </c>
    </row>
    <row r="43" spans="1:6" x14ac:dyDescent="0.3">
      <c r="A43" s="15">
        <v>2</v>
      </c>
      <c r="B43" s="9">
        <v>1</v>
      </c>
      <c r="C43" s="9" t="s">
        <v>81</v>
      </c>
      <c r="D43" s="9" t="s">
        <v>29</v>
      </c>
      <c r="E43" s="15" t="s">
        <v>42</v>
      </c>
      <c r="F43" s="15" t="s">
        <v>46</v>
      </c>
    </row>
    <row r="44" spans="1:6" x14ac:dyDescent="0.3">
      <c r="A44" s="4">
        <v>2</v>
      </c>
      <c r="B44" s="4">
        <v>2</v>
      </c>
      <c r="C44" s="4" t="s">
        <v>80</v>
      </c>
      <c r="D44" s="4" t="s">
        <v>0</v>
      </c>
      <c r="E44" s="4" t="s">
        <v>41</v>
      </c>
      <c r="F44" s="4" t="s">
        <v>54</v>
      </c>
    </row>
    <row r="45" spans="1:6" x14ac:dyDescent="0.3">
      <c r="A45" s="15">
        <v>2</v>
      </c>
      <c r="B45" s="15">
        <v>2</v>
      </c>
      <c r="C45" s="15" t="s">
        <v>80</v>
      </c>
      <c r="D45" s="15" t="s">
        <v>40</v>
      </c>
      <c r="E45" s="15" t="s">
        <v>9</v>
      </c>
      <c r="F45" s="15" t="s">
        <v>54</v>
      </c>
    </row>
    <row r="46" spans="1:6" x14ac:dyDescent="0.3">
      <c r="A46" s="4">
        <v>2</v>
      </c>
      <c r="B46" s="9">
        <v>1</v>
      </c>
      <c r="C46" s="9" t="s">
        <v>81</v>
      </c>
      <c r="D46" s="9" t="s">
        <v>29</v>
      </c>
      <c r="E46" s="4" t="s">
        <v>42</v>
      </c>
      <c r="F46" s="4" t="s">
        <v>43</v>
      </c>
    </row>
    <row r="47" spans="1:6" x14ac:dyDescent="0.3">
      <c r="A47" s="15">
        <v>2</v>
      </c>
      <c r="B47" s="9">
        <v>2</v>
      </c>
      <c r="C47" s="9" t="s">
        <v>80</v>
      </c>
      <c r="D47" s="9" t="s">
        <v>29</v>
      </c>
      <c r="E47" s="15" t="s">
        <v>42</v>
      </c>
      <c r="F47" s="15" t="s">
        <v>48</v>
      </c>
    </row>
    <row r="48" spans="1:6" x14ac:dyDescent="0.3">
      <c r="A48" s="4">
        <v>2</v>
      </c>
      <c r="B48" s="4">
        <v>2</v>
      </c>
      <c r="C48" s="4" t="s">
        <v>80</v>
      </c>
      <c r="D48" s="4" t="s">
        <v>0</v>
      </c>
      <c r="E48" s="4" t="s">
        <v>41</v>
      </c>
      <c r="F48" s="4" t="s">
        <v>58</v>
      </c>
    </row>
    <row r="49" spans="1:6" x14ac:dyDescent="0.3">
      <c r="A49" s="15">
        <v>2</v>
      </c>
      <c r="B49" s="15">
        <v>1</v>
      </c>
      <c r="C49" s="15" t="s">
        <v>81</v>
      </c>
      <c r="D49" s="15" t="s">
        <v>40</v>
      </c>
      <c r="E49" s="15" t="s">
        <v>10</v>
      </c>
      <c r="F49" s="15" t="s">
        <v>58</v>
      </c>
    </row>
    <row r="50" spans="1:6" x14ac:dyDescent="0.3">
      <c r="A50" s="12">
        <v>3</v>
      </c>
      <c r="B50" s="15">
        <v>1</v>
      </c>
      <c r="C50" s="15" t="s">
        <v>81</v>
      </c>
      <c r="D50" s="15" t="s">
        <v>0</v>
      </c>
      <c r="E50" s="15" t="s">
        <v>41</v>
      </c>
      <c r="F50" s="15" t="s">
        <v>63</v>
      </c>
    </row>
    <row r="51" spans="1:6" x14ac:dyDescent="0.3">
      <c r="A51" s="28">
        <v>3</v>
      </c>
      <c r="B51" s="27">
        <v>2</v>
      </c>
      <c r="C51" s="27" t="s">
        <v>80</v>
      </c>
      <c r="D51" s="27" t="s">
        <v>40</v>
      </c>
      <c r="E51" s="27" t="s">
        <v>10</v>
      </c>
      <c r="F51" s="27" t="s">
        <v>63</v>
      </c>
    </row>
    <row r="52" spans="1:6" x14ac:dyDescent="0.3">
      <c r="A52" s="12">
        <v>3</v>
      </c>
      <c r="B52" s="15">
        <v>2</v>
      </c>
      <c r="C52" s="15" t="s">
        <v>80</v>
      </c>
      <c r="D52" s="15" t="s">
        <v>0</v>
      </c>
      <c r="E52" s="15" t="s">
        <v>41</v>
      </c>
      <c r="F52" s="15" t="s">
        <v>59</v>
      </c>
    </row>
    <row r="53" spans="1:6" x14ac:dyDescent="0.3">
      <c r="A53" s="28">
        <v>3</v>
      </c>
      <c r="B53" s="27">
        <v>1</v>
      </c>
      <c r="C53" s="27" t="s">
        <v>81</v>
      </c>
      <c r="D53" s="27" t="s">
        <v>40</v>
      </c>
      <c r="E53" s="27" t="s">
        <v>10</v>
      </c>
      <c r="F53" s="27" t="s">
        <v>59</v>
      </c>
    </row>
    <row r="54" spans="1:6" x14ac:dyDescent="0.3">
      <c r="A54" s="12">
        <v>3</v>
      </c>
      <c r="B54" s="10">
        <v>2</v>
      </c>
      <c r="C54" s="10" t="s">
        <v>80</v>
      </c>
      <c r="D54" s="10" t="s">
        <v>29</v>
      </c>
      <c r="E54" s="15" t="s">
        <v>42</v>
      </c>
      <c r="F54" s="15" t="s">
        <v>51</v>
      </c>
    </row>
    <row r="55" spans="1:6" x14ac:dyDescent="0.3">
      <c r="A55" s="28">
        <v>3</v>
      </c>
      <c r="B55" s="10">
        <v>1</v>
      </c>
      <c r="C55" s="10" t="s">
        <v>81</v>
      </c>
      <c r="D55" s="10" t="s">
        <v>29</v>
      </c>
      <c r="E55" s="27" t="s">
        <v>42</v>
      </c>
      <c r="F55" s="27" t="s">
        <v>55</v>
      </c>
    </row>
    <row r="56" spans="1:6" x14ac:dyDescent="0.3">
      <c r="A56" s="12">
        <v>3</v>
      </c>
      <c r="B56" s="15">
        <v>1</v>
      </c>
      <c r="C56" s="15" t="s">
        <v>81</v>
      </c>
      <c r="D56" s="15" t="s">
        <v>0</v>
      </c>
      <c r="E56" s="15" t="s">
        <v>41</v>
      </c>
      <c r="F56" s="15" t="s">
        <v>65</v>
      </c>
    </row>
    <row r="57" spans="1:6" x14ac:dyDescent="0.3">
      <c r="A57" s="28">
        <v>3</v>
      </c>
      <c r="B57" s="27">
        <v>2</v>
      </c>
      <c r="C57" s="27" t="s">
        <v>80</v>
      </c>
      <c r="D57" s="27" t="s">
        <v>40</v>
      </c>
      <c r="E57" s="27" t="s">
        <v>10</v>
      </c>
      <c r="F57" s="27" t="s">
        <v>65</v>
      </c>
    </row>
    <row r="58" spans="1:6" x14ac:dyDescent="0.3">
      <c r="A58" s="12">
        <v>3</v>
      </c>
      <c r="B58" s="10">
        <v>1</v>
      </c>
      <c r="C58" s="10" t="s">
        <v>81</v>
      </c>
      <c r="D58" s="10" t="s">
        <v>29</v>
      </c>
      <c r="E58" s="15" t="s">
        <v>42</v>
      </c>
      <c r="F58" s="15" t="s">
        <v>53</v>
      </c>
    </row>
    <row r="59" spans="1:6" x14ac:dyDescent="0.3">
      <c r="A59" s="28">
        <v>3</v>
      </c>
      <c r="B59" s="27">
        <v>2</v>
      </c>
      <c r="C59" s="27" t="s">
        <v>80</v>
      </c>
      <c r="D59" s="27" t="s">
        <v>0</v>
      </c>
      <c r="E59" s="27" t="s">
        <v>41</v>
      </c>
      <c r="F59" s="27" t="s">
        <v>61</v>
      </c>
    </row>
    <row r="60" spans="1:6" x14ac:dyDescent="0.3">
      <c r="A60" s="12">
        <v>3</v>
      </c>
      <c r="B60" s="15">
        <v>2</v>
      </c>
      <c r="C60" s="15" t="s">
        <v>80</v>
      </c>
      <c r="D60" s="15" t="s">
        <v>40</v>
      </c>
      <c r="E60" s="15" t="s">
        <v>9</v>
      </c>
      <c r="F60" s="15" t="s">
        <v>61</v>
      </c>
    </row>
    <row r="61" spans="1:6" x14ac:dyDescent="0.3">
      <c r="A61" s="28">
        <v>3</v>
      </c>
      <c r="B61" s="10">
        <v>1</v>
      </c>
      <c r="C61" s="10" t="s">
        <v>81</v>
      </c>
      <c r="D61" s="10" t="s">
        <v>29</v>
      </c>
      <c r="E61" s="27" t="s">
        <v>42</v>
      </c>
      <c r="F61" s="27" t="s">
        <v>57</v>
      </c>
    </row>
    <row r="62" spans="1:6" x14ac:dyDescent="0.3">
      <c r="A62" s="12">
        <v>3</v>
      </c>
      <c r="B62" s="10">
        <v>1</v>
      </c>
      <c r="C62" s="10" t="s">
        <v>81</v>
      </c>
      <c r="D62" s="10" t="s">
        <v>29</v>
      </c>
      <c r="E62" s="15" t="s">
        <v>42</v>
      </c>
      <c r="F62" s="15" t="s">
        <v>52</v>
      </c>
    </row>
    <row r="63" spans="1:6" x14ac:dyDescent="0.3">
      <c r="A63" s="28">
        <v>3</v>
      </c>
      <c r="B63" s="27">
        <v>2</v>
      </c>
      <c r="C63" s="27" t="s">
        <v>80</v>
      </c>
      <c r="D63" s="27" t="s">
        <v>0</v>
      </c>
      <c r="E63" s="27" t="s">
        <v>41</v>
      </c>
      <c r="F63" s="27" t="s">
        <v>60</v>
      </c>
    </row>
    <row r="64" spans="1:6" x14ac:dyDescent="0.3">
      <c r="A64" s="12">
        <v>3</v>
      </c>
      <c r="B64" s="15">
        <v>2</v>
      </c>
      <c r="C64" s="15" t="s">
        <v>80</v>
      </c>
      <c r="D64" s="15" t="s">
        <v>40</v>
      </c>
      <c r="E64" s="15" t="s">
        <v>9</v>
      </c>
      <c r="F64" s="15" t="s">
        <v>60</v>
      </c>
    </row>
    <row r="65" spans="1:6" x14ac:dyDescent="0.3">
      <c r="A65" s="28">
        <v>3</v>
      </c>
      <c r="B65" s="27">
        <v>2</v>
      </c>
      <c r="C65" s="27" t="s">
        <v>80</v>
      </c>
      <c r="D65" s="27" t="s">
        <v>0</v>
      </c>
      <c r="E65" s="27" t="s">
        <v>41</v>
      </c>
      <c r="F65" s="27" t="s">
        <v>66</v>
      </c>
    </row>
    <row r="66" spans="1:6" x14ac:dyDescent="0.3">
      <c r="A66" s="12">
        <v>3</v>
      </c>
      <c r="B66" s="15">
        <v>1</v>
      </c>
      <c r="C66" s="15" t="s">
        <v>81</v>
      </c>
      <c r="D66" s="15" t="s">
        <v>40</v>
      </c>
      <c r="E66" s="15" t="s">
        <v>10</v>
      </c>
      <c r="F66" s="15" t="s">
        <v>66</v>
      </c>
    </row>
    <row r="67" spans="1:6" x14ac:dyDescent="0.3">
      <c r="A67" s="28">
        <v>3</v>
      </c>
      <c r="B67" s="10">
        <v>2</v>
      </c>
      <c r="C67" s="10" t="s">
        <v>80</v>
      </c>
      <c r="D67" s="10" t="s">
        <v>29</v>
      </c>
      <c r="E67" s="27" t="s">
        <v>42</v>
      </c>
      <c r="F67" s="27" t="s">
        <v>56</v>
      </c>
    </row>
    <row r="68" spans="1:6" x14ac:dyDescent="0.3">
      <c r="A68" s="12">
        <v>3</v>
      </c>
      <c r="B68" s="10">
        <v>2</v>
      </c>
      <c r="C68" s="10" t="s">
        <v>80</v>
      </c>
      <c r="D68" s="10" t="s">
        <v>29</v>
      </c>
      <c r="E68" s="15" t="s">
        <v>42</v>
      </c>
      <c r="F68" s="15" t="s">
        <v>54</v>
      </c>
    </row>
    <row r="69" spans="1:6" x14ac:dyDescent="0.3">
      <c r="A69" s="28">
        <v>3</v>
      </c>
      <c r="B69" s="27">
        <v>1</v>
      </c>
      <c r="C69" s="27" t="s">
        <v>81</v>
      </c>
      <c r="D69" s="27" t="s">
        <v>0</v>
      </c>
      <c r="E69" s="27" t="s">
        <v>41</v>
      </c>
      <c r="F69" s="27" t="s">
        <v>64</v>
      </c>
    </row>
    <row r="70" spans="1:6" x14ac:dyDescent="0.3">
      <c r="A70" s="12">
        <v>3</v>
      </c>
      <c r="B70" s="15">
        <v>1</v>
      </c>
      <c r="C70" s="15" t="s">
        <v>81</v>
      </c>
      <c r="D70" s="15" t="s">
        <v>40</v>
      </c>
      <c r="E70" s="15" t="s">
        <v>9</v>
      </c>
      <c r="F70" s="15" t="s">
        <v>64</v>
      </c>
    </row>
    <row r="71" spans="1:6" x14ac:dyDescent="0.3">
      <c r="A71" s="28">
        <v>3</v>
      </c>
      <c r="B71" s="10">
        <v>2</v>
      </c>
      <c r="C71" s="10" t="s">
        <v>80</v>
      </c>
      <c r="D71" s="10" t="s">
        <v>29</v>
      </c>
      <c r="E71" s="27" t="s">
        <v>42</v>
      </c>
      <c r="F71" s="27" t="s">
        <v>58</v>
      </c>
    </row>
    <row r="72" spans="1:6" x14ac:dyDescent="0.3">
      <c r="A72" s="12">
        <v>3</v>
      </c>
      <c r="B72" s="15">
        <v>1</v>
      </c>
      <c r="C72" s="15" t="s">
        <v>81</v>
      </c>
      <c r="D72" s="15" t="s">
        <v>0</v>
      </c>
      <c r="E72" s="15" t="s">
        <v>41</v>
      </c>
      <c r="F72" s="15" t="s">
        <v>62</v>
      </c>
    </row>
    <row r="73" spans="1:6" x14ac:dyDescent="0.3">
      <c r="A73" s="28">
        <v>3</v>
      </c>
      <c r="B73" s="27">
        <v>1</v>
      </c>
      <c r="C73" s="27" t="s">
        <v>81</v>
      </c>
      <c r="D73" s="27" t="s">
        <v>40</v>
      </c>
      <c r="E73" s="27" t="s">
        <v>9</v>
      </c>
      <c r="F73" s="27" t="s">
        <v>62</v>
      </c>
    </row>
    <row r="74" spans="1:6" x14ac:dyDescent="0.3">
      <c r="A74" s="4">
        <v>4</v>
      </c>
      <c r="B74" s="11">
        <v>2</v>
      </c>
      <c r="C74" s="11" t="s">
        <v>80</v>
      </c>
      <c r="D74" s="11" t="s">
        <v>29</v>
      </c>
      <c r="E74" s="4" t="s">
        <v>42</v>
      </c>
      <c r="F74" s="4" t="s">
        <v>63</v>
      </c>
    </row>
    <row r="75" spans="1:6" x14ac:dyDescent="0.3">
      <c r="A75" s="15">
        <v>4</v>
      </c>
      <c r="B75" s="11">
        <v>2</v>
      </c>
      <c r="C75" s="11" t="s">
        <v>80</v>
      </c>
      <c r="D75" s="11" t="s">
        <v>29</v>
      </c>
      <c r="E75" s="15" t="s">
        <v>42</v>
      </c>
      <c r="F75" s="15" t="s">
        <v>59</v>
      </c>
    </row>
    <row r="76" spans="1:6" x14ac:dyDescent="0.3">
      <c r="A76" s="4">
        <v>4</v>
      </c>
      <c r="B76" s="4">
        <v>1</v>
      </c>
      <c r="C76" s="4" t="s">
        <v>81</v>
      </c>
      <c r="D76" s="4" t="s">
        <v>0</v>
      </c>
      <c r="E76" s="4" t="s">
        <v>41</v>
      </c>
      <c r="F76" s="4" t="s">
        <v>69</v>
      </c>
    </row>
    <row r="77" spans="1:6" x14ac:dyDescent="0.3">
      <c r="A77" s="15">
        <v>4</v>
      </c>
      <c r="B77" s="15">
        <v>1</v>
      </c>
      <c r="C77" s="15" t="s">
        <v>81</v>
      </c>
      <c r="D77" s="15" t="s">
        <v>40</v>
      </c>
      <c r="E77" s="15" t="s">
        <v>9</v>
      </c>
      <c r="F77" s="15" t="s">
        <v>69</v>
      </c>
    </row>
    <row r="78" spans="1:6" x14ac:dyDescent="0.3">
      <c r="A78" s="4">
        <v>4</v>
      </c>
      <c r="B78" s="4">
        <v>1</v>
      </c>
      <c r="C78" s="4" t="s">
        <v>81</v>
      </c>
      <c r="D78" s="4" t="s">
        <v>0</v>
      </c>
      <c r="E78" s="4" t="s">
        <v>41</v>
      </c>
      <c r="F78" s="4" t="s">
        <v>72</v>
      </c>
    </row>
    <row r="79" spans="1:6" x14ac:dyDescent="0.3">
      <c r="A79" s="15">
        <v>4</v>
      </c>
      <c r="B79" s="15">
        <v>2</v>
      </c>
      <c r="C79" s="15" t="s">
        <v>80</v>
      </c>
      <c r="D79" s="15" t="s">
        <v>40</v>
      </c>
      <c r="E79" s="15" t="s">
        <v>10</v>
      </c>
      <c r="F79" s="15" t="s">
        <v>72</v>
      </c>
    </row>
    <row r="80" spans="1:6" x14ac:dyDescent="0.3">
      <c r="A80" s="4">
        <v>4</v>
      </c>
      <c r="B80" s="11">
        <v>1</v>
      </c>
      <c r="C80" s="11" t="s">
        <v>81</v>
      </c>
      <c r="D80" s="11" t="s">
        <v>29</v>
      </c>
      <c r="E80" s="4" t="s">
        <v>42</v>
      </c>
      <c r="F80" s="4" t="s">
        <v>65</v>
      </c>
    </row>
    <row r="81" spans="1:6" x14ac:dyDescent="0.3">
      <c r="A81" s="15">
        <v>4</v>
      </c>
      <c r="B81" s="15">
        <v>2</v>
      </c>
      <c r="C81" s="15" t="s">
        <v>80</v>
      </c>
      <c r="D81" s="15" t="s">
        <v>0</v>
      </c>
      <c r="E81" s="15" t="s">
        <v>41</v>
      </c>
      <c r="F81" s="15" t="s">
        <v>70</v>
      </c>
    </row>
    <row r="82" spans="1:6" x14ac:dyDescent="0.3">
      <c r="A82" s="4">
        <v>4</v>
      </c>
      <c r="B82" s="4">
        <v>2</v>
      </c>
      <c r="C82" s="4" t="s">
        <v>80</v>
      </c>
      <c r="D82" s="4" t="s">
        <v>40</v>
      </c>
      <c r="E82" s="4" t="s">
        <v>9</v>
      </c>
      <c r="F82" s="4" t="s">
        <v>70</v>
      </c>
    </row>
    <row r="83" spans="1:6" x14ac:dyDescent="0.3">
      <c r="A83" s="15">
        <v>4</v>
      </c>
      <c r="B83" s="15">
        <v>2</v>
      </c>
      <c r="C83" s="15" t="s">
        <v>80</v>
      </c>
      <c r="D83" s="15" t="s">
        <v>0</v>
      </c>
      <c r="E83" s="15" t="s">
        <v>41</v>
      </c>
      <c r="F83" s="15" t="s">
        <v>74</v>
      </c>
    </row>
    <row r="84" spans="1:6" x14ac:dyDescent="0.3">
      <c r="A84" s="4">
        <v>4</v>
      </c>
      <c r="B84" s="4">
        <v>1</v>
      </c>
      <c r="C84" s="4" t="s">
        <v>81</v>
      </c>
      <c r="D84" s="4" t="s">
        <v>40</v>
      </c>
      <c r="E84" s="4" t="s">
        <v>10</v>
      </c>
      <c r="F84" s="4" t="s">
        <v>74</v>
      </c>
    </row>
    <row r="85" spans="1:6" x14ac:dyDescent="0.3">
      <c r="A85" s="15">
        <v>4</v>
      </c>
      <c r="B85" s="11">
        <v>2</v>
      </c>
      <c r="C85" s="11" t="s">
        <v>80</v>
      </c>
      <c r="D85" s="11" t="s">
        <v>29</v>
      </c>
      <c r="E85" s="15" t="s">
        <v>42</v>
      </c>
      <c r="F85" s="15" t="s">
        <v>61</v>
      </c>
    </row>
    <row r="86" spans="1:6" x14ac:dyDescent="0.3">
      <c r="A86" s="4">
        <v>4</v>
      </c>
      <c r="B86" s="4">
        <v>1</v>
      </c>
      <c r="C86" s="4" t="s">
        <v>81</v>
      </c>
      <c r="D86" s="4" t="s">
        <v>0</v>
      </c>
      <c r="E86" s="4" t="s">
        <v>41</v>
      </c>
      <c r="F86" s="4" t="s">
        <v>71</v>
      </c>
    </row>
    <row r="87" spans="1:6" x14ac:dyDescent="0.3">
      <c r="A87" s="15">
        <v>4</v>
      </c>
      <c r="B87" s="15">
        <v>2</v>
      </c>
      <c r="C87" s="15" t="s">
        <v>80</v>
      </c>
      <c r="D87" s="15" t="s">
        <v>40</v>
      </c>
      <c r="E87" s="15" t="s">
        <v>10</v>
      </c>
      <c r="F87" s="15" t="s">
        <v>71</v>
      </c>
    </row>
    <row r="88" spans="1:6" x14ac:dyDescent="0.3">
      <c r="A88" s="4">
        <v>4</v>
      </c>
      <c r="B88" s="4">
        <v>2</v>
      </c>
      <c r="C88" s="4" t="s">
        <v>80</v>
      </c>
      <c r="D88" s="4" t="s">
        <v>0</v>
      </c>
      <c r="E88" s="4" t="s">
        <v>41</v>
      </c>
      <c r="F88" s="4" t="s">
        <v>68</v>
      </c>
    </row>
    <row r="89" spans="1:6" x14ac:dyDescent="0.3">
      <c r="A89" s="15">
        <v>4</v>
      </c>
      <c r="B89" s="15">
        <v>2</v>
      </c>
      <c r="C89" s="15" t="s">
        <v>80</v>
      </c>
      <c r="D89" s="15" t="s">
        <v>40</v>
      </c>
      <c r="E89" s="15" t="s">
        <v>9</v>
      </c>
      <c r="F89" s="15" t="s">
        <v>68</v>
      </c>
    </row>
    <row r="90" spans="1:6" x14ac:dyDescent="0.3">
      <c r="A90" s="15">
        <v>4</v>
      </c>
      <c r="B90" s="11">
        <v>1</v>
      </c>
      <c r="C90" s="11" t="s">
        <v>81</v>
      </c>
      <c r="D90" s="11" t="s">
        <v>29</v>
      </c>
      <c r="E90" s="15" t="s">
        <v>42</v>
      </c>
      <c r="F90" s="15" t="s">
        <v>60</v>
      </c>
    </row>
    <row r="91" spans="1:6" x14ac:dyDescent="0.3">
      <c r="A91" s="4">
        <v>4</v>
      </c>
      <c r="B91" s="11">
        <v>1</v>
      </c>
      <c r="C91" s="11" t="s">
        <v>81</v>
      </c>
      <c r="D91" s="11" t="s">
        <v>29</v>
      </c>
      <c r="E91" s="4" t="s">
        <v>42</v>
      </c>
      <c r="F91" s="4" t="s">
        <v>66</v>
      </c>
    </row>
    <row r="92" spans="1:6" x14ac:dyDescent="0.3">
      <c r="A92" s="4">
        <v>4</v>
      </c>
      <c r="B92" s="4">
        <v>2</v>
      </c>
      <c r="C92" s="4" t="s">
        <v>80</v>
      </c>
      <c r="D92" s="4" t="s">
        <v>0</v>
      </c>
      <c r="E92" s="4" t="s">
        <v>41</v>
      </c>
      <c r="F92" s="4" t="s">
        <v>67</v>
      </c>
    </row>
    <row r="93" spans="1:6" x14ac:dyDescent="0.3">
      <c r="A93" s="15">
        <v>4</v>
      </c>
      <c r="B93" s="15">
        <v>1</v>
      </c>
      <c r="C93" s="15" t="s">
        <v>81</v>
      </c>
      <c r="D93" s="15" t="s">
        <v>40</v>
      </c>
      <c r="E93" s="15" t="s">
        <v>10</v>
      </c>
      <c r="F93" s="15" t="s">
        <v>67</v>
      </c>
    </row>
    <row r="94" spans="1:6" x14ac:dyDescent="0.3">
      <c r="A94" s="4">
        <v>4</v>
      </c>
      <c r="B94" s="4">
        <v>1</v>
      </c>
      <c r="C94" s="4" t="s">
        <v>81</v>
      </c>
      <c r="D94" s="4" t="s">
        <v>0</v>
      </c>
      <c r="E94" s="4" t="s">
        <v>41</v>
      </c>
      <c r="F94" s="4" t="s">
        <v>73</v>
      </c>
    </row>
    <row r="95" spans="1:6" x14ac:dyDescent="0.3">
      <c r="A95" s="15">
        <v>4</v>
      </c>
      <c r="B95" s="15">
        <v>1</v>
      </c>
      <c r="C95" s="15" t="s">
        <v>81</v>
      </c>
      <c r="D95" s="15" t="s">
        <v>40</v>
      </c>
      <c r="E95" s="15" t="s">
        <v>9</v>
      </c>
      <c r="F95" s="15" t="s">
        <v>73</v>
      </c>
    </row>
    <row r="96" spans="1:6" x14ac:dyDescent="0.3">
      <c r="A96" s="4">
        <v>4</v>
      </c>
      <c r="B96" s="11">
        <v>2</v>
      </c>
      <c r="C96" s="11" t="s">
        <v>80</v>
      </c>
      <c r="D96" s="11" t="s">
        <v>29</v>
      </c>
      <c r="E96" s="4" t="s">
        <v>42</v>
      </c>
      <c r="F96" s="4" t="s">
        <v>64</v>
      </c>
    </row>
    <row r="97" spans="1:6" x14ac:dyDescent="0.3">
      <c r="A97" s="30">
        <v>4</v>
      </c>
      <c r="B97" s="31">
        <v>1</v>
      </c>
      <c r="C97" s="31" t="s">
        <v>81</v>
      </c>
      <c r="D97" s="31" t="s">
        <v>29</v>
      </c>
      <c r="E97" s="30" t="s">
        <v>42</v>
      </c>
      <c r="F97" s="30" t="s">
        <v>62</v>
      </c>
    </row>
    <row r="98" spans="1:6" x14ac:dyDescent="0.3">
      <c r="A98" s="29" t="s">
        <v>25</v>
      </c>
      <c r="B98" s="29"/>
      <c r="C98" s="29"/>
      <c r="D98" s="29"/>
      <c r="E98" s="29"/>
      <c r="F98" s="29"/>
    </row>
    <row r="99" spans="1:6" x14ac:dyDescent="0.3">
      <c r="A99" s="12">
        <v>1</v>
      </c>
      <c r="B99" s="14">
        <v>2</v>
      </c>
      <c r="C99" s="13" t="s">
        <v>80</v>
      </c>
      <c r="D99" s="8" t="s">
        <v>29</v>
      </c>
      <c r="E99" s="15" t="s">
        <v>42</v>
      </c>
      <c r="F99" s="15" t="s">
        <v>71</v>
      </c>
    </row>
    <row r="100" spans="1:6" x14ac:dyDescent="0.3">
      <c r="A100" s="7">
        <v>1</v>
      </c>
      <c r="B100" s="7">
        <v>2</v>
      </c>
      <c r="C100" s="7" t="s">
        <v>80</v>
      </c>
      <c r="D100" s="4" t="s">
        <v>0</v>
      </c>
      <c r="E100" s="4" t="s">
        <v>41</v>
      </c>
      <c r="F100" s="4" t="s">
        <v>49</v>
      </c>
    </row>
    <row r="101" spans="1:6" x14ac:dyDescent="0.3">
      <c r="A101" s="12">
        <v>1</v>
      </c>
      <c r="B101" s="12">
        <v>2</v>
      </c>
      <c r="C101" s="12" t="s">
        <v>80</v>
      </c>
      <c r="D101" s="15" t="s">
        <v>40</v>
      </c>
      <c r="E101" s="15" t="s">
        <v>9</v>
      </c>
      <c r="F101" s="15" t="s">
        <v>49</v>
      </c>
    </row>
    <row r="102" spans="1:6" x14ac:dyDescent="0.3">
      <c r="A102" s="7">
        <v>1</v>
      </c>
      <c r="B102" s="14">
        <v>1</v>
      </c>
      <c r="C102" s="14" t="s">
        <v>81</v>
      </c>
      <c r="D102" s="8" t="s">
        <v>29</v>
      </c>
      <c r="E102" s="4" t="s">
        <v>42</v>
      </c>
      <c r="F102" s="4" t="s">
        <v>69</v>
      </c>
    </row>
    <row r="103" spans="1:6" x14ac:dyDescent="0.3">
      <c r="A103" s="12">
        <v>1</v>
      </c>
      <c r="B103" s="14">
        <v>1</v>
      </c>
      <c r="C103" s="14" t="s">
        <v>81</v>
      </c>
      <c r="D103" s="8" t="s">
        <v>29</v>
      </c>
      <c r="E103" s="15" t="s">
        <v>42</v>
      </c>
      <c r="F103" s="15" t="s">
        <v>73</v>
      </c>
    </row>
    <row r="104" spans="1:6" x14ac:dyDescent="0.3">
      <c r="A104" s="7">
        <v>1</v>
      </c>
      <c r="B104" s="7">
        <v>2</v>
      </c>
      <c r="C104" s="7" t="s">
        <v>80</v>
      </c>
      <c r="D104" s="4" t="s">
        <v>0</v>
      </c>
      <c r="E104" s="4" t="s">
        <v>41</v>
      </c>
      <c r="F104" s="4" t="s">
        <v>48</v>
      </c>
    </row>
    <row r="105" spans="1:6" x14ac:dyDescent="0.3">
      <c r="A105" s="12">
        <v>1</v>
      </c>
      <c r="B105" s="12">
        <v>2</v>
      </c>
      <c r="C105" s="12" t="s">
        <v>80</v>
      </c>
      <c r="D105" s="15" t="s">
        <v>40</v>
      </c>
      <c r="E105" s="15" t="s">
        <v>9</v>
      </c>
      <c r="F105" s="15" t="s">
        <v>48</v>
      </c>
    </row>
    <row r="106" spans="1:6" x14ac:dyDescent="0.3">
      <c r="A106" s="7">
        <v>1</v>
      </c>
      <c r="B106" s="7">
        <v>2</v>
      </c>
      <c r="C106" s="7" t="s">
        <v>80</v>
      </c>
      <c r="D106" s="4" t="s">
        <v>0</v>
      </c>
      <c r="E106" s="4" t="s">
        <v>41</v>
      </c>
      <c r="F106" s="4" t="s">
        <v>50</v>
      </c>
    </row>
    <row r="107" spans="1:6" x14ac:dyDescent="0.3">
      <c r="A107" s="12">
        <v>1</v>
      </c>
      <c r="B107" s="12">
        <v>1</v>
      </c>
      <c r="C107" s="12" t="s">
        <v>81</v>
      </c>
      <c r="D107" s="15" t="s">
        <v>40</v>
      </c>
      <c r="E107" s="15" t="s">
        <v>10</v>
      </c>
      <c r="F107" s="15" t="s">
        <v>50</v>
      </c>
    </row>
    <row r="108" spans="1:6" x14ac:dyDescent="0.3">
      <c r="A108" s="7">
        <v>1</v>
      </c>
      <c r="B108" s="14">
        <v>2</v>
      </c>
      <c r="C108" s="14" t="s">
        <v>80</v>
      </c>
      <c r="D108" s="8" t="s">
        <v>29</v>
      </c>
      <c r="E108" s="4" t="s">
        <v>42</v>
      </c>
      <c r="F108" s="4" t="s">
        <v>70</v>
      </c>
    </row>
    <row r="109" spans="1:6" x14ac:dyDescent="0.3">
      <c r="A109" s="12">
        <v>1</v>
      </c>
      <c r="B109" s="12">
        <v>1</v>
      </c>
      <c r="C109" s="12" t="s">
        <v>81</v>
      </c>
      <c r="D109" s="15" t="s">
        <v>0</v>
      </c>
      <c r="E109" s="15" t="s">
        <v>41</v>
      </c>
      <c r="F109" s="15" t="s">
        <v>43</v>
      </c>
    </row>
    <row r="110" spans="1:6" x14ac:dyDescent="0.3">
      <c r="A110" s="7">
        <v>1</v>
      </c>
      <c r="B110" s="7">
        <v>2</v>
      </c>
      <c r="C110" s="7" t="s">
        <v>80</v>
      </c>
      <c r="D110" s="4" t="s">
        <v>40</v>
      </c>
      <c r="E110" s="4" t="s">
        <v>10</v>
      </c>
      <c r="F110" s="4" t="s">
        <v>43</v>
      </c>
    </row>
    <row r="111" spans="1:6" x14ac:dyDescent="0.3">
      <c r="A111" s="12">
        <v>1</v>
      </c>
      <c r="B111" s="12">
        <v>2</v>
      </c>
      <c r="C111" s="12" t="s">
        <v>80</v>
      </c>
      <c r="D111" s="15" t="s">
        <v>0</v>
      </c>
      <c r="E111" s="15" t="s">
        <v>41</v>
      </c>
      <c r="F111" s="15" t="s">
        <v>46</v>
      </c>
    </row>
    <row r="112" spans="1:6" x14ac:dyDescent="0.3">
      <c r="A112" s="7">
        <v>1</v>
      </c>
      <c r="B112" s="7">
        <v>1</v>
      </c>
      <c r="C112" s="7" t="s">
        <v>81</v>
      </c>
      <c r="D112" s="4" t="s">
        <v>40</v>
      </c>
      <c r="E112" s="4" t="s">
        <v>10</v>
      </c>
      <c r="F112" s="4" t="s">
        <v>46</v>
      </c>
    </row>
    <row r="113" spans="1:6" x14ac:dyDescent="0.3">
      <c r="A113" s="12">
        <v>1</v>
      </c>
      <c r="B113" s="14">
        <v>1</v>
      </c>
      <c r="C113" s="13" t="s">
        <v>81</v>
      </c>
      <c r="D113" s="8" t="s">
        <v>29</v>
      </c>
      <c r="E113" s="15" t="s">
        <v>42</v>
      </c>
      <c r="F113" s="15" t="s">
        <v>74</v>
      </c>
    </row>
    <row r="114" spans="1:6" x14ac:dyDescent="0.3">
      <c r="A114" s="7">
        <v>1</v>
      </c>
      <c r="B114" s="14">
        <v>2</v>
      </c>
      <c r="C114" s="14" t="s">
        <v>80</v>
      </c>
      <c r="D114" s="8" t="s">
        <v>29</v>
      </c>
      <c r="E114" s="4" t="s">
        <v>42</v>
      </c>
      <c r="F114" s="4" t="s">
        <v>67</v>
      </c>
    </row>
    <row r="115" spans="1:6" x14ac:dyDescent="0.3">
      <c r="A115" s="12">
        <v>1</v>
      </c>
      <c r="B115" s="12">
        <v>1</v>
      </c>
      <c r="C115" s="12" t="s">
        <v>81</v>
      </c>
      <c r="D115" s="15" t="s">
        <v>0</v>
      </c>
      <c r="E115" s="15" t="s">
        <v>41</v>
      </c>
      <c r="F115" s="15" t="s">
        <v>44</v>
      </c>
    </row>
    <row r="116" spans="1:6" x14ac:dyDescent="0.3">
      <c r="A116" s="7">
        <v>1</v>
      </c>
      <c r="B116" s="7">
        <v>1</v>
      </c>
      <c r="C116" s="12" t="s">
        <v>81</v>
      </c>
      <c r="D116" s="4" t="s">
        <v>40</v>
      </c>
      <c r="E116" s="4" t="s">
        <v>9</v>
      </c>
      <c r="F116" s="4" t="s">
        <v>44</v>
      </c>
    </row>
    <row r="117" spans="1:6" x14ac:dyDescent="0.3">
      <c r="A117" s="12">
        <v>1</v>
      </c>
      <c r="B117" s="14">
        <v>1</v>
      </c>
      <c r="C117" s="13" t="s">
        <v>81</v>
      </c>
      <c r="D117" s="8" t="s">
        <v>29</v>
      </c>
      <c r="E117" s="15" t="s">
        <v>42</v>
      </c>
      <c r="F117" s="15" t="s">
        <v>72</v>
      </c>
    </row>
    <row r="118" spans="1:6" x14ac:dyDescent="0.3">
      <c r="A118" s="7">
        <v>1</v>
      </c>
      <c r="B118" s="14">
        <v>2</v>
      </c>
      <c r="C118" s="14" t="s">
        <v>80</v>
      </c>
      <c r="D118" s="8" t="s">
        <v>29</v>
      </c>
      <c r="E118" s="4" t="s">
        <v>42</v>
      </c>
      <c r="F118" s="4" t="s">
        <v>68</v>
      </c>
    </row>
    <row r="119" spans="1:6" x14ac:dyDescent="0.3">
      <c r="A119" s="12">
        <v>1</v>
      </c>
      <c r="B119" s="12">
        <v>1</v>
      </c>
      <c r="C119" s="12" t="s">
        <v>81</v>
      </c>
      <c r="D119" s="15" t="s">
        <v>0</v>
      </c>
      <c r="E119" s="15" t="s">
        <v>41</v>
      </c>
      <c r="F119" s="15" t="s">
        <v>45</v>
      </c>
    </row>
    <row r="120" spans="1:6" x14ac:dyDescent="0.3">
      <c r="A120" s="7">
        <v>1</v>
      </c>
      <c r="B120" s="7">
        <v>1</v>
      </c>
      <c r="C120" s="12" t="s">
        <v>81</v>
      </c>
      <c r="D120" s="4" t="s">
        <v>40</v>
      </c>
      <c r="E120" s="4" t="s">
        <v>9</v>
      </c>
      <c r="F120" s="4" t="s">
        <v>45</v>
      </c>
    </row>
    <row r="121" spans="1:6" x14ac:dyDescent="0.3">
      <c r="A121" s="12">
        <v>1</v>
      </c>
      <c r="B121" s="12">
        <v>1</v>
      </c>
      <c r="C121" s="12" t="s">
        <v>81</v>
      </c>
      <c r="D121" s="15" t="s">
        <v>0</v>
      </c>
      <c r="E121" s="15" t="s">
        <v>41</v>
      </c>
      <c r="F121" s="15" t="s">
        <v>47</v>
      </c>
    </row>
    <row r="122" spans="1:6" x14ac:dyDescent="0.3">
      <c r="A122" s="7">
        <v>1</v>
      </c>
      <c r="B122" s="7">
        <v>2</v>
      </c>
      <c r="C122" s="7" t="s">
        <v>80</v>
      </c>
      <c r="D122" s="4" t="s">
        <v>40</v>
      </c>
      <c r="E122" s="4" t="s">
        <v>10</v>
      </c>
      <c r="F122" s="4" t="s">
        <v>47</v>
      </c>
    </row>
    <row r="123" spans="1:6" x14ac:dyDescent="0.3">
      <c r="A123" s="27">
        <v>2</v>
      </c>
      <c r="B123" s="28">
        <v>1</v>
      </c>
      <c r="C123" s="27" t="s">
        <v>81</v>
      </c>
      <c r="D123" s="27" t="s">
        <v>0</v>
      </c>
      <c r="E123" s="27" t="s">
        <v>41</v>
      </c>
      <c r="F123" s="27" t="s">
        <v>52</v>
      </c>
    </row>
    <row r="124" spans="1:6" x14ac:dyDescent="0.3">
      <c r="A124" s="15">
        <v>2</v>
      </c>
      <c r="B124" s="12">
        <v>1</v>
      </c>
      <c r="C124" s="15" t="s">
        <v>81</v>
      </c>
      <c r="D124" s="15" t="s">
        <v>40</v>
      </c>
      <c r="E124" s="15" t="s">
        <v>9</v>
      </c>
      <c r="F124" s="15" t="s">
        <v>52</v>
      </c>
    </row>
    <row r="125" spans="1:6" x14ac:dyDescent="0.3">
      <c r="A125" s="27">
        <v>2</v>
      </c>
      <c r="B125" s="9">
        <v>2</v>
      </c>
      <c r="C125" s="9" t="s">
        <v>80</v>
      </c>
      <c r="D125" s="9" t="s">
        <v>29</v>
      </c>
      <c r="E125" s="27" t="s">
        <v>42</v>
      </c>
      <c r="F125" s="27" t="s">
        <v>49</v>
      </c>
    </row>
    <row r="126" spans="1:6" x14ac:dyDescent="0.3">
      <c r="A126" s="15">
        <v>2</v>
      </c>
      <c r="B126" s="9">
        <v>2</v>
      </c>
      <c r="C126" s="9" t="s">
        <v>80</v>
      </c>
      <c r="D126" s="9" t="s">
        <v>29</v>
      </c>
      <c r="E126" s="15" t="s">
        <v>42</v>
      </c>
      <c r="F126" s="15" t="s">
        <v>48</v>
      </c>
    </row>
    <row r="127" spans="1:6" x14ac:dyDescent="0.3">
      <c r="A127" s="27">
        <v>2</v>
      </c>
      <c r="B127" s="28">
        <v>1</v>
      </c>
      <c r="C127" s="28" t="s">
        <v>81</v>
      </c>
      <c r="D127" s="27" t="s">
        <v>0</v>
      </c>
      <c r="E127" s="27" t="s">
        <v>41</v>
      </c>
      <c r="F127" s="27" t="s">
        <v>53</v>
      </c>
    </row>
    <row r="128" spans="1:6" x14ac:dyDescent="0.3">
      <c r="A128" s="15">
        <v>2</v>
      </c>
      <c r="B128" s="12">
        <v>1</v>
      </c>
      <c r="C128" s="12" t="s">
        <v>81</v>
      </c>
      <c r="D128" s="15" t="s">
        <v>40</v>
      </c>
      <c r="E128" s="15" t="s">
        <v>9</v>
      </c>
      <c r="F128" s="15" t="s">
        <v>53</v>
      </c>
    </row>
    <row r="129" spans="1:6" x14ac:dyDescent="0.3">
      <c r="A129" s="27">
        <v>2</v>
      </c>
      <c r="B129" s="28">
        <v>1</v>
      </c>
      <c r="C129" s="28" t="s">
        <v>81</v>
      </c>
      <c r="D129" s="27" t="s">
        <v>0</v>
      </c>
      <c r="E129" s="27" t="s">
        <v>41</v>
      </c>
      <c r="F129" s="27" t="s">
        <v>55</v>
      </c>
    </row>
    <row r="130" spans="1:6" x14ac:dyDescent="0.3">
      <c r="A130" s="15">
        <v>2</v>
      </c>
      <c r="B130" s="12">
        <v>2</v>
      </c>
      <c r="C130" s="12" t="s">
        <v>80</v>
      </c>
      <c r="D130" s="15" t="s">
        <v>40</v>
      </c>
      <c r="E130" s="15" t="s">
        <v>10</v>
      </c>
      <c r="F130" s="15" t="s">
        <v>55</v>
      </c>
    </row>
    <row r="131" spans="1:6" x14ac:dyDescent="0.3">
      <c r="A131" s="27">
        <v>2</v>
      </c>
      <c r="B131" s="9">
        <v>1</v>
      </c>
      <c r="C131" s="9" t="s">
        <v>81</v>
      </c>
      <c r="D131" s="9" t="s">
        <v>29</v>
      </c>
      <c r="E131" s="27" t="s">
        <v>42</v>
      </c>
      <c r="F131" s="27" t="s">
        <v>50</v>
      </c>
    </row>
    <row r="132" spans="1:6" x14ac:dyDescent="0.3">
      <c r="A132" s="15">
        <v>2</v>
      </c>
      <c r="B132" s="12">
        <v>2</v>
      </c>
      <c r="C132" s="12" t="s">
        <v>80</v>
      </c>
      <c r="D132" s="15" t="s">
        <v>0</v>
      </c>
      <c r="E132" s="15" t="s">
        <v>41</v>
      </c>
      <c r="F132" s="15" t="s">
        <v>54</v>
      </c>
    </row>
    <row r="133" spans="1:6" x14ac:dyDescent="0.3">
      <c r="A133" s="27">
        <v>2</v>
      </c>
      <c r="B133" s="28">
        <v>1</v>
      </c>
      <c r="C133" s="28" t="s">
        <v>81</v>
      </c>
      <c r="D133" s="27" t="s">
        <v>40</v>
      </c>
      <c r="E133" s="27" t="s">
        <v>10</v>
      </c>
      <c r="F133" s="27" t="s">
        <v>54</v>
      </c>
    </row>
    <row r="134" spans="1:6" x14ac:dyDescent="0.3">
      <c r="A134" s="15">
        <v>2</v>
      </c>
      <c r="B134" s="12">
        <v>1</v>
      </c>
      <c r="C134" s="12" t="s">
        <v>81</v>
      </c>
      <c r="D134" s="15" t="s">
        <v>0</v>
      </c>
      <c r="E134" s="15" t="s">
        <v>41</v>
      </c>
      <c r="F134" s="15" t="s">
        <v>51</v>
      </c>
    </row>
    <row r="135" spans="1:6" x14ac:dyDescent="0.3">
      <c r="A135" s="27">
        <v>2</v>
      </c>
      <c r="B135" s="28">
        <v>2</v>
      </c>
      <c r="C135" s="28" t="s">
        <v>80</v>
      </c>
      <c r="D135" s="27" t="s">
        <v>40</v>
      </c>
      <c r="E135" s="27" t="s">
        <v>10</v>
      </c>
      <c r="F135" s="27" t="s">
        <v>51</v>
      </c>
    </row>
    <row r="136" spans="1:6" x14ac:dyDescent="0.3">
      <c r="A136" s="15">
        <v>2</v>
      </c>
      <c r="B136" s="9">
        <v>2</v>
      </c>
      <c r="C136" s="9" t="s">
        <v>80</v>
      </c>
      <c r="D136" s="9" t="s">
        <v>29</v>
      </c>
      <c r="E136" s="15" t="s">
        <v>42</v>
      </c>
      <c r="F136" s="15" t="s">
        <v>43</v>
      </c>
    </row>
    <row r="137" spans="1:6" x14ac:dyDescent="0.3">
      <c r="A137" s="27">
        <v>2</v>
      </c>
      <c r="B137" s="9">
        <v>1</v>
      </c>
      <c r="C137" s="9" t="s">
        <v>81</v>
      </c>
      <c r="D137" s="9" t="s">
        <v>29</v>
      </c>
      <c r="E137" s="27" t="s">
        <v>42</v>
      </c>
      <c r="F137" s="27" t="s">
        <v>46</v>
      </c>
    </row>
    <row r="138" spans="1:6" x14ac:dyDescent="0.3">
      <c r="A138" s="15">
        <v>2</v>
      </c>
      <c r="B138" s="12">
        <v>2</v>
      </c>
      <c r="C138" s="12" t="s">
        <v>80</v>
      </c>
      <c r="D138" s="15" t="s">
        <v>0</v>
      </c>
      <c r="E138" s="15" t="s">
        <v>41</v>
      </c>
      <c r="F138" s="15" t="s">
        <v>57</v>
      </c>
    </row>
    <row r="139" spans="1:6" x14ac:dyDescent="0.3">
      <c r="A139" s="27">
        <v>2</v>
      </c>
      <c r="B139" s="28">
        <v>2</v>
      </c>
      <c r="C139" s="28" t="s">
        <v>80</v>
      </c>
      <c r="D139" s="27" t="s">
        <v>40</v>
      </c>
      <c r="E139" s="27" t="s">
        <v>9</v>
      </c>
      <c r="F139" s="27" t="s">
        <v>57</v>
      </c>
    </row>
    <row r="140" spans="1:6" x14ac:dyDescent="0.3">
      <c r="A140" s="15">
        <v>2</v>
      </c>
      <c r="B140" s="9">
        <v>1</v>
      </c>
      <c r="C140" s="9" t="s">
        <v>81</v>
      </c>
      <c r="D140" s="9" t="s">
        <v>29</v>
      </c>
      <c r="E140" s="15" t="s">
        <v>42</v>
      </c>
      <c r="F140" s="15" t="s">
        <v>44</v>
      </c>
    </row>
    <row r="141" spans="1:6" x14ac:dyDescent="0.3">
      <c r="A141" s="27">
        <v>2</v>
      </c>
      <c r="B141" s="28">
        <v>2</v>
      </c>
      <c r="C141" s="28" t="s">
        <v>80</v>
      </c>
      <c r="D141" s="27" t="s">
        <v>0</v>
      </c>
      <c r="E141" s="27" t="s">
        <v>41</v>
      </c>
      <c r="F141" s="27" t="s">
        <v>58</v>
      </c>
    </row>
    <row r="142" spans="1:6" x14ac:dyDescent="0.3">
      <c r="A142" s="15">
        <v>2</v>
      </c>
      <c r="B142" s="12">
        <v>2</v>
      </c>
      <c r="C142" s="12" t="s">
        <v>80</v>
      </c>
      <c r="D142" s="15" t="s">
        <v>40</v>
      </c>
      <c r="E142" s="15" t="s">
        <v>9</v>
      </c>
      <c r="F142" s="15" t="s">
        <v>58</v>
      </c>
    </row>
    <row r="143" spans="1:6" x14ac:dyDescent="0.3">
      <c r="A143" s="27">
        <v>2</v>
      </c>
      <c r="B143" s="28">
        <v>2</v>
      </c>
      <c r="C143" s="28" t="s">
        <v>80</v>
      </c>
      <c r="D143" s="27" t="s">
        <v>0</v>
      </c>
      <c r="E143" s="27" t="s">
        <v>41</v>
      </c>
      <c r="F143" s="27" t="s">
        <v>56</v>
      </c>
    </row>
    <row r="144" spans="1:6" x14ac:dyDescent="0.3">
      <c r="A144" s="15">
        <v>2</v>
      </c>
      <c r="B144" s="12">
        <v>1</v>
      </c>
      <c r="C144" s="12" t="s">
        <v>81</v>
      </c>
      <c r="D144" s="15" t="s">
        <v>40</v>
      </c>
      <c r="E144" s="15" t="s">
        <v>10</v>
      </c>
      <c r="F144" s="15" t="s">
        <v>56</v>
      </c>
    </row>
    <row r="145" spans="1:6" x14ac:dyDescent="0.3">
      <c r="A145" s="27">
        <v>2</v>
      </c>
      <c r="B145" s="9">
        <v>1</v>
      </c>
      <c r="C145" s="9" t="s">
        <v>81</v>
      </c>
      <c r="D145" s="9" t="s">
        <v>29</v>
      </c>
      <c r="E145" s="27" t="s">
        <v>42</v>
      </c>
      <c r="F145" s="27" t="s">
        <v>45</v>
      </c>
    </row>
    <row r="146" spans="1:6" x14ac:dyDescent="0.3">
      <c r="A146" s="15">
        <v>2</v>
      </c>
      <c r="B146" s="9">
        <v>2</v>
      </c>
      <c r="C146" s="9" t="s">
        <v>80</v>
      </c>
      <c r="D146" s="9" t="s">
        <v>29</v>
      </c>
      <c r="E146" s="15" t="s">
        <v>42</v>
      </c>
      <c r="F146" s="15" t="s">
        <v>47</v>
      </c>
    </row>
    <row r="147" spans="1:6" x14ac:dyDescent="0.3">
      <c r="A147" s="12">
        <v>3</v>
      </c>
      <c r="B147" s="12">
        <v>1</v>
      </c>
      <c r="C147" s="12" t="s">
        <v>81</v>
      </c>
      <c r="D147" s="15" t="s">
        <v>0</v>
      </c>
      <c r="E147" s="15" t="s">
        <v>41</v>
      </c>
      <c r="F147" s="15" t="s">
        <v>62</v>
      </c>
    </row>
    <row r="148" spans="1:6" x14ac:dyDescent="0.3">
      <c r="A148" s="7">
        <v>3</v>
      </c>
      <c r="B148" s="7">
        <v>2</v>
      </c>
      <c r="C148" s="7" t="s">
        <v>80</v>
      </c>
      <c r="D148" s="4" t="s">
        <v>40</v>
      </c>
      <c r="E148" s="4" t="s">
        <v>10</v>
      </c>
      <c r="F148" s="4" t="s">
        <v>62</v>
      </c>
    </row>
    <row r="149" spans="1:6" x14ac:dyDescent="0.3">
      <c r="A149" s="12">
        <v>3</v>
      </c>
      <c r="B149" s="10">
        <v>2</v>
      </c>
      <c r="C149" s="10" t="s">
        <v>80</v>
      </c>
      <c r="D149" s="10" t="s">
        <v>29</v>
      </c>
      <c r="E149" s="15" t="s">
        <v>42</v>
      </c>
      <c r="F149" s="15" t="s">
        <v>52</v>
      </c>
    </row>
    <row r="150" spans="1:6" x14ac:dyDescent="0.3">
      <c r="A150" s="7">
        <v>3</v>
      </c>
      <c r="B150" s="10">
        <v>1</v>
      </c>
      <c r="C150" s="10" t="s">
        <v>81</v>
      </c>
      <c r="D150" s="10" t="s">
        <v>29</v>
      </c>
      <c r="E150" s="4" t="s">
        <v>42</v>
      </c>
      <c r="F150" s="4" t="s">
        <v>53</v>
      </c>
    </row>
    <row r="151" spans="1:6" x14ac:dyDescent="0.3">
      <c r="A151" s="12">
        <v>3</v>
      </c>
      <c r="B151" s="12">
        <v>2</v>
      </c>
      <c r="C151" s="12" t="s">
        <v>80</v>
      </c>
      <c r="D151" s="15" t="s">
        <v>0</v>
      </c>
      <c r="E151" s="15" t="s">
        <v>41</v>
      </c>
      <c r="F151" s="15" t="s">
        <v>65</v>
      </c>
    </row>
    <row r="152" spans="1:6" x14ac:dyDescent="0.3">
      <c r="A152" s="7">
        <v>3</v>
      </c>
      <c r="B152" s="7">
        <v>1</v>
      </c>
      <c r="C152" s="7" t="s">
        <v>81</v>
      </c>
      <c r="D152" s="4" t="s">
        <v>40</v>
      </c>
      <c r="E152" s="4" t="s">
        <v>10</v>
      </c>
      <c r="F152" s="4" t="s">
        <v>65</v>
      </c>
    </row>
    <row r="153" spans="1:6" x14ac:dyDescent="0.3">
      <c r="A153" s="12">
        <v>3</v>
      </c>
      <c r="B153" s="12">
        <v>1</v>
      </c>
      <c r="C153" s="12" t="s">
        <v>81</v>
      </c>
      <c r="D153" s="15" t="s">
        <v>0</v>
      </c>
      <c r="E153" s="15" t="s">
        <v>41</v>
      </c>
      <c r="F153" s="15" t="s">
        <v>60</v>
      </c>
    </row>
    <row r="154" spans="1:6" x14ac:dyDescent="0.3">
      <c r="A154" s="7">
        <v>3</v>
      </c>
      <c r="B154" s="7">
        <v>2</v>
      </c>
      <c r="C154" s="7" t="s">
        <v>80</v>
      </c>
      <c r="D154" s="4" t="s">
        <v>40</v>
      </c>
      <c r="E154" s="4" t="s">
        <v>10</v>
      </c>
      <c r="F154" s="4" t="s">
        <v>60</v>
      </c>
    </row>
    <row r="155" spans="1:6" x14ac:dyDescent="0.3">
      <c r="A155" s="12">
        <v>3</v>
      </c>
      <c r="B155" s="10">
        <v>1</v>
      </c>
      <c r="C155" s="10" t="s">
        <v>81</v>
      </c>
      <c r="D155" s="10" t="s">
        <v>29</v>
      </c>
      <c r="E155" s="15" t="s">
        <v>42</v>
      </c>
      <c r="F155" s="15" t="s">
        <v>55</v>
      </c>
    </row>
    <row r="156" spans="1:6" x14ac:dyDescent="0.3">
      <c r="A156" s="7">
        <v>3</v>
      </c>
      <c r="B156" s="7">
        <v>2</v>
      </c>
      <c r="C156" s="7" t="s">
        <v>80</v>
      </c>
      <c r="D156" s="4" t="s">
        <v>0</v>
      </c>
      <c r="E156" s="4" t="s">
        <v>41</v>
      </c>
      <c r="F156" s="4" t="s">
        <v>64</v>
      </c>
    </row>
    <row r="157" spans="1:6" x14ac:dyDescent="0.3">
      <c r="A157" s="12">
        <v>3</v>
      </c>
      <c r="B157" s="12">
        <v>2</v>
      </c>
      <c r="C157" s="12" t="s">
        <v>80</v>
      </c>
      <c r="D157" s="15" t="s">
        <v>40</v>
      </c>
      <c r="E157" s="15" t="s">
        <v>9</v>
      </c>
      <c r="F157" s="15" t="s">
        <v>64</v>
      </c>
    </row>
    <row r="158" spans="1:6" x14ac:dyDescent="0.3">
      <c r="A158" s="7">
        <v>3</v>
      </c>
      <c r="B158" s="10">
        <v>1</v>
      </c>
      <c r="C158" s="10" t="s">
        <v>81</v>
      </c>
      <c r="D158" s="10" t="s">
        <v>29</v>
      </c>
      <c r="E158" s="4" t="s">
        <v>42</v>
      </c>
      <c r="F158" s="4" t="s">
        <v>54</v>
      </c>
    </row>
    <row r="159" spans="1:6" x14ac:dyDescent="0.3">
      <c r="A159" s="12">
        <v>3</v>
      </c>
      <c r="B159" s="10">
        <v>2</v>
      </c>
      <c r="C159" s="10" t="s">
        <v>80</v>
      </c>
      <c r="D159" s="10" t="s">
        <v>29</v>
      </c>
      <c r="E159" s="15" t="s">
        <v>42</v>
      </c>
      <c r="F159" s="15" t="s">
        <v>51</v>
      </c>
    </row>
    <row r="160" spans="1:6" x14ac:dyDescent="0.3">
      <c r="A160" s="7">
        <v>3</v>
      </c>
      <c r="B160" s="10">
        <v>1</v>
      </c>
      <c r="C160" s="10" t="s">
        <v>81</v>
      </c>
      <c r="D160" s="10" t="s">
        <v>29</v>
      </c>
      <c r="E160" s="4" t="s">
        <v>42</v>
      </c>
      <c r="F160" s="4" t="s">
        <v>57</v>
      </c>
    </row>
    <row r="161" spans="1:6" x14ac:dyDescent="0.3">
      <c r="A161" s="12">
        <v>3</v>
      </c>
      <c r="B161" s="12">
        <v>2</v>
      </c>
      <c r="C161" s="12" t="s">
        <v>80</v>
      </c>
      <c r="D161" s="15" t="s">
        <v>0</v>
      </c>
      <c r="E161" s="15" t="s">
        <v>41</v>
      </c>
      <c r="F161" s="15" t="s">
        <v>66</v>
      </c>
    </row>
    <row r="162" spans="1:6" x14ac:dyDescent="0.3">
      <c r="A162" s="7">
        <v>3</v>
      </c>
      <c r="B162" s="7">
        <v>2</v>
      </c>
      <c r="C162" s="7" t="s">
        <v>80</v>
      </c>
      <c r="D162" s="4" t="s">
        <v>40</v>
      </c>
      <c r="E162" s="4" t="s">
        <v>9</v>
      </c>
      <c r="F162" s="4" t="s">
        <v>66</v>
      </c>
    </row>
    <row r="163" spans="1:6" x14ac:dyDescent="0.3">
      <c r="A163" s="12">
        <v>3</v>
      </c>
      <c r="B163" s="12">
        <v>2</v>
      </c>
      <c r="C163" s="12" t="s">
        <v>80</v>
      </c>
      <c r="D163" s="15" t="s">
        <v>0</v>
      </c>
      <c r="E163" s="15" t="s">
        <v>41</v>
      </c>
      <c r="F163" s="15" t="s">
        <v>63</v>
      </c>
    </row>
    <row r="164" spans="1:6" x14ac:dyDescent="0.3">
      <c r="A164" s="7">
        <v>3</v>
      </c>
      <c r="B164" s="7">
        <v>1</v>
      </c>
      <c r="C164" s="7" t="s">
        <v>81</v>
      </c>
      <c r="D164" s="4" t="s">
        <v>40</v>
      </c>
      <c r="E164" s="4" t="s">
        <v>10</v>
      </c>
      <c r="F164" s="4" t="s">
        <v>63</v>
      </c>
    </row>
    <row r="165" spans="1:6" x14ac:dyDescent="0.3">
      <c r="A165" s="28">
        <v>3</v>
      </c>
      <c r="B165" s="28">
        <v>1</v>
      </c>
      <c r="C165" s="28" t="s">
        <v>81</v>
      </c>
      <c r="D165" s="27" t="s">
        <v>0</v>
      </c>
      <c r="E165" s="27" t="s">
        <v>41</v>
      </c>
      <c r="F165" s="27" t="s">
        <v>61</v>
      </c>
    </row>
    <row r="166" spans="1:6" x14ac:dyDescent="0.3">
      <c r="A166" s="12">
        <v>3</v>
      </c>
      <c r="B166" s="12">
        <v>1</v>
      </c>
      <c r="C166" s="12" t="s">
        <v>81</v>
      </c>
      <c r="D166" s="15" t="s">
        <v>40</v>
      </c>
      <c r="E166" s="15" t="s">
        <v>9</v>
      </c>
      <c r="F166" s="15" t="s">
        <v>61</v>
      </c>
    </row>
    <row r="167" spans="1:6" x14ac:dyDescent="0.3">
      <c r="A167" s="28">
        <v>3</v>
      </c>
      <c r="B167" s="10">
        <v>2</v>
      </c>
      <c r="C167" s="10" t="s">
        <v>80</v>
      </c>
      <c r="D167" s="10" t="s">
        <v>29</v>
      </c>
      <c r="E167" s="27" t="s">
        <v>42</v>
      </c>
      <c r="F167" s="27" t="s">
        <v>56</v>
      </c>
    </row>
    <row r="168" spans="1:6" x14ac:dyDescent="0.3">
      <c r="A168" s="12">
        <v>3</v>
      </c>
      <c r="B168" s="12">
        <v>1</v>
      </c>
      <c r="C168" s="12" t="s">
        <v>81</v>
      </c>
      <c r="D168" s="15" t="s">
        <v>0</v>
      </c>
      <c r="E168" s="15" t="s">
        <v>41</v>
      </c>
      <c r="F168" s="15" t="s">
        <v>59</v>
      </c>
    </row>
    <row r="169" spans="1:6" x14ac:dyDescent="0.3">
      <c r="A169" s="28">
        <v>3</v>
      </c>
      <c r="B169" s="28">
        <v>1</v>
      </c>
      <c r="C169" s="28" t="s">
        <v>81</v>
      </c>
      <c r="D169" s="27" t="s">
        <v>40</v>
      </c>
      <c r="E169" s="27" t="s">
        <v>9</v>
      </c>
      <c r="F169" s="27" t="s">
        <v>59</v>
      </c>
    </row>
    <row r="170" spans="1:6" x14ac:dyDescent="0.3">
      <c r="A170" s="12">
        <v>3</v>
      </c>
      <c r="B170" s="10">
        <v>2</v>
      </c>
      <c r="C170" s="10" t="s">
        <v>80</v>
      </c>
      <c r="D170" s="10" t="s">
        <v>29</v>
      </c>
      <c r="E170" s="15" t="s">
        <v>42</v>
      </c>
      <c r="F170" s="15" t="s">
        <v>58</v>
      </c>
    </row>
    <row r="171" spans="1:6" x14ac:dyDescent="0.3">
      <c r="A171" s="27">
        <v>4</v>
      </c>
      <c r="B171" s="28">
        <v>1</v>
      </c>
      <c r="C171" s="28" t="s">
        <v>81</v>
      </c>
      <c r="D171" s="27" t="s">
        <v>0</v>
      </c>
      <c r="E171" s="27" t="s">
        <v>41</v>
      </c>
      <c r="F171" s="27" t="s">
        <v>71</v>
      </c>
    </row>
    <row r="172" spans="1:6" x14ac:dyDescent="0.3">
      <c r="A172" s="15">
        <v>4</v>
      </c>
      <c r="B172" s="12">
        <v>1</v>
      </c>
      <c r="C172" s="12" t="s">
        <v>81</v>
      </c>
      <c r="D172" s="15" t="s">
        <v>40</v>
      </c>
      <c r="E172" s="15" t="s">
        <v>9</v>
      </c>
      <c r="F172" s="15" t="s">
        <v>71</v>
      </c>
    </row>
    <row r="173" spans="1:6" x14ac:dyDescent="0.3">
      <c r="A173" s="27">
        <v>4</v>
      </c>
      <c r="B173" s="11">
        <v>2</v>
      </c>
      <c r="C173" s="11" t="s">
        <v>80</v>
      </c>
      <c r="D173" s="11" t="s">
        <v>29</v>
      </c>
      <c r="E173" s="27" t="s">
        <v>42</v>
      </c>
      <c r="F173" s="27" t="s">
        <v>62</v>
      </c>
    </row>
    <row r="174" spans="1:6" x14ac:dyDescent="0.3">
      <c r="A174" s="15">
        <v>4</v>
      </c>
      <c r="B174" s="12">
        <v>1</v>
      </c>
      <c r="C174" s="12" t="s">
        <v>81</v>
      </c>
      <c r="D174" s="15" t="s">
        <v>0</v>
      </c>
      <c r="E174" s="15" t="s">
        <v>41</v>
      </c>
      <c r="F174" s="15" t="s">
        <v>69</v>
      </c>
    </row>
    <row r="175" spans="1:6" x14ac:dyDescent="0.3">
      <c r="A175" s="27">
        <v>4</v>
      </c>
      <c r="B175" s="28">
        <v>2</v>
      </c>
      <c r="C175" s="28" t="s">
        <v>80</v>
      </c>
      <c r="D175" s="27" t="s">
        <v>40</v>
      </c>
      <c r="E175" s="27" t="s">
        <v>10</v>
      </c>
      <c r="F175" s="27" t="s">
        <v>69</v>
      </c>
    </row>
    <row r="176" spans="1:6" x14ac:dyDescent="0.3">
      <c r="A176" s="15">
        <v>4</v>
      </c>
      <c r="B176" s="12">
        <v>2</v>
      </c>
      <c r="C176" s="12" t="s">
        <v>80</v>
      </c>
      <c r="D176" s="15" t="s">
        <v>0</v>
      </c>
      <c r="E176" s="15" t="s">
        <v>41</v>
      </c>
      <c r="F176" s="15" t="s">
        <v>73</v>
      </c>
    </row>
    <row r="177" spans="1:6" x14ac:dyDescent="0.3">
      <c r="A177" s="27">
        <v>4</v>
      </c>
      <c r="B177" s="28">
        <v>2</v>
      </c>
      <c r="C177" s="28" t="s">
        <v>80</v>
      </c>
      <c r="D177" s="27" t="s">
        <v>40</v>
      </c>
      <c r="E177" s="27" t="s">
        <v>9</v>
      </c>
      <c r="F177" s="27" t="s">
        <v>73</v>
      </c>
    </row>
    <row r="178" spans="1:6" x14ac:dyDescent="0.3">
      <c r="A178" s="15">
        <v>4</v>
      </c>
      <c r="B178" s="11">
        <v>1</v>
      </c>
      <c r="C178" s="11" t="s">
        <v>81</v>
      </c>
      <c r="D178" s="11" t="s">
        <v>29</v>
      </c>
      <c r="E178" s="15" t="s">
        <v>42</v>
      </c>
      <c r="F178" s="15" t="s">
        <v>65</v>
      </c>
    </row>
    <row r="179" spans="1:6" x14ac:dyDescent="0.3">
      <c r="A179" s="27">
        <v>4</v>
      </c>
      <c r="B179" s="11">
        <v>2</v>
      </c>
      <c r="C179" s="11" t="s">
        <v>80</v>
      </c>
      <c r="D179" s="11" t="s">
        <v>29</v>
      </c>
      <c r="E179" s="27" t="s">
        <v>42</v>
      </c>
      <c r="F179" s="27" t="s">
        <v>60</v>
      </c>
    </row>
    <row r="180" spans="1:6" x14ac:dyDescent="0.3">
      <c r="A180" s="15">
        <v>4</v>
      </c>
      <c r="B180" s="12">
        <v>2</v>
      </c>
      <c r="C180" s="12" t="s">
        <v>80</v>
      </c>
      <c r="D180" s="15" t="s">
        <v>0</v>
      </c>
      <c r="E180" s="15" t="s">
        <v>41</v>
      </c>
      <c r="F180" s="15" t="s">
        <v>70</v>
      </c>
    </row>
    <row r="181" spans="1:6" x14ac:dyDescent="0.3">
      <c r="A181" s="27">
        <v>4</v>
      </c>
      <c r="B181" s="28">
        <v>1</v>
      </c>
      <c r="C181" s="28" t="s">
        <v>81</v>
      </c>
      <c r="D181" s="27" t="s">
        <v>40</v>
      </c>
      <c r="E181" s="27" t="s">
        <v>10</v>
      </c>
      <c r="F181" s="27" t="s">
        <v>70</v>
      </c>
    </row>
    <row r="182" spans="1:6" x14ac:dyDescent="0.3">
      <c r="A182" s="15">
        <v>4</v>
      </c>
      <c r="B182" s="12">
        <v>1</v>
      </c>
      <c r="C182" s="12" t="s">
        <v>81</v>
      </c>
      <c r="D182" s="15" t="s">
        <v>0</v>
      </c>
      <c r="E182" s="15" t="s">
        <v>41</v>
      </c>
      <c r="F182" s="15" t="s">
        <v>74</v>
      </c>
    </row>
    <row r="183" spans="1:6" x14ac:dyDescent="0.3">
      <c r="A183" s="27">
        <v>4</v>
      </c>
      <c r="B183" s="28">
        <v>2</v>
      </c>
      <c r="C183" s="28" t="s">
        <v>80</v>
      </c>
      <c r="D183" s="27" t="s">
        <v>40</v>
      </c>
      <c r="E183" s="27" t="s">
        <v>10</v>
      </c>
      <c r="F183" s="27" t="s">
        <v>74</v>
      </c>
    </row>
    <row r="184" spans="1:6" x14ac:dyDescent="0.3">
      <c r="A184" s="15">
        <v>4</v>
      </c>
      <c r="B184" s="11">
        <v>1</v>
      </c>
      <c r="C184" s="11" t="s">
        <v>81</v>
      </c>
      <c r="D184" s="11" t="s">
        <v>29</v>
      </c>
      <c r="E184" s="15" t="s">
        <v>42</v>
      </c>
      <c r="F184" s="15" t="s">
        <v>64</v>
      </c>
    </row>
    <row r="185" spans="1:6" x14ac:dyDescent="0.3">
      <c r="A185" s="27">
        <v>4</v>
      </c>
      <c r="B185" s="28">
        <v>2</v>
      </c>
      <c r="C185" s="28" t="s">
        <v>80</v>
      </c>
      <c r="D185" s="27" t="s">
        <v>0</v>
      </c>
      <c r="E185" s="27" t="s">
        <v>41</v>
      </c>
      <c r="F185" s="27" t="s">
        <v>67</v>
      </c>
    </row>
    <row r="186" spans="1:6" x14ac:dyDescent="0.3">
      <c r="A186" s="15">
        <v>4</v>
      </c>
      <c r="B186" s="12">
        <v>2</v>
      </c>
      <c r="C186" s="12" t="s">
        <v>80</v>
      </c>
      <c r="D186" s="15" t="s">
        <v>40</v>
      </c>
      <c r="E186" s="15" t="s">
        <v>9</v>
      </c>
      <c r="F186" s="15" t="s">
        <v>67</v>
      </c>
    </row>
    <row r="187" spans="1:6" x14ac:dyDescent="0.3">
      <c r="A187" s="27">
        <v>4</v>
      </c>
      <c r="B187" s="11">
        <v>1</v>
      </c>
      <c r="C187" s="11" t="s">
        <v>81</v>
      </c>
      <c r="D187" s="11" t="s">
        <v>29</v>
      </c>
      <c r="E187" s="27" t="s">
        <v>42</v>
      </c>
      <c r="F187" s="27" t="s">
        <v>66</v>
      </c>
    </row>
    <row r="188" spans="1:6" x14ac:dyDescent="0.3">
      <c r="A188" s="15">
        <v>4</v>
      </c>
      <c r="B188" s="12">
        <v>2</v>
      </c>
      <c r="C188" s="12" t="s">
        <v>80</v>
      </c>
      <c r="D188" s="15" t="s">
        <v>0</v>
      </c>
      <c r="E188" s="15" t="s">
        <v>41</v>
      </c>
      <c r="F188" s="15" t="s">
        <v>72</v>
      </c>
    </row>
    <row r="189" spans="1:6" x14ac:dyDescent="0.3">
      <c r="A189" s="27">
        <v>4</v>
      </c>
      <c r="B189" s="28">
        <v>1</v>
      </c>
      <c r="C189" s="28" t="s">
        <v>81</v>
      </c>
      <c r="D189" s="27" t="s">
        <v>40</v>
      </c>
      <c r="E189" s="27" t="s">
        <v>10</v>
      </c>
      <c r="F189" s="27" t="s">
        <v>72</v>
      </c>
    </row>
    <row r="190" spans="1:6" x14ac:dyDescent="0.3">
      <c r="A190" s="15">
        <v>4</v>
      </c>
      <c r="B190" s="12">
        <v>1</v>
      </c>
      <c r="C190" s="12" t="s">
        <v>81</v>
      </c>
      <c r="D190" s="15" t="s">
        <v>0</v>
      </c>
      <c r="E190" s="15" t="s">
        <v>41</v>
      </c>
      <c r="F190" s="15" t="s">
        <v>68</v>
      </c>
    </row>
    <row r="191" spans="1:6" x14ac:dyDescent="0.3">
      <c r="A191" s="27">
        <v>4</v>
      </c>
      <c r="B191" s="28">
        <v>1</v>
      </c>
      <c r="C191" s="28" t="s">
        <v>81</v>
      </c>
      <c r="D191" s="27" t="s">
        <v>40</v>
      </c>
      <c r="E191" s="27" t="s">
        <v>9</v>
      </c>
      <c r="F191" s="27" t="s">
        <v>68</v>
      </c>
    </row>
    <row r="192" spans="1:6" x14ac:dyDescent="0.3">
      <c r="A192" s="15">
        <v>4</v>
      </c>
      <c r="B192" s="11">
        <v>2</v>
      </c>
      <c r="C192" s="11" t="s">
        <v>80</v>
      </c>
      <c r="D192" s="11" t="s">
        <v>29</v>
      </c>
      <c r="E192" s="15" t="s">
        <v>42</v>
      </c>
      <c r="F192" s="15" t="s">
        <v>63</v>
      </c>
    </row>
    <row r="193" spans="1:6" x14ac:dyDescent="0.3">
      <c r="A193" s="27">
        <v>4</v>
      </c>
      <c r="B193" s="11">
        <v>1</v>
      </c>
      <c r="C193" s="11" t="s">
        <v>81</v>
      </c>
      <c r="D193" s="11" t="s">
        <v>29</v>
      </c>
      <c r="E193" s="27" t="s">
        <v>42</v>
      </c>
      <c r="F193" s="27" t="s">
        <v>61</v>
      </c>
    </row>
    <row r="194" spans="1:6" x14ac:dyDescent="0.3">
      <c r="A194" s="15">
        <v>4</v>
      </c>
      <c r="B194" s="11">
        <v>2</v>
      </c>
      <c r="C194" s="11" t="s">
        <v>80</v>
      </c>
      <c r="D194" s="11" t="s">
        <v>29</v>
      </c>
      <c r="E194" s="15" t="s">
        <v>42</v>
      </c>
      <c r="F194" s="15" t="s">
        <v>59</v>
      </c>
    </row>
    <row r="195" spans="1:6" x14ac:dyDescent="0.3">
      <c r="A195" s="29" t="s">
        <v>25</v>
      </c>
      <c r="B195" s="29"/>
      <c r="C195" s="29"/>
      <c r="D195" s="29"/>
      <c r="E195" s="29"/>
      <c r="F195" s="29"/>
    </row>
    <row r="196" spans="1:6" x14ac:dyDescent="0.3">
      <c r="A196" s="12">
        <v>1</v>
      </c>
      <c r="B196" s="15">
        <v>2</v>
      </c>
      <c r="C196" s="15" t="s">
        <v>80</v>
      </c>
      <c r="D196" s="15" t="s">
        <v>0</v>
      </c>
      <c r="E196" s="15" t="s">
        <v>41</v>
      </c>
      <c r="F196" s="15" t="s">
        <v>46</v>
      </c>
    </row>
    <row r="197" spans="1:6" x14ac:dyDescent="0.3">
      <c r="A197" s="28">
        <v>1</v>
      </c>
      <c r="B197" s="27">
        <v>2</v>
      </c>
      <c r="C197" s="15" t="s">
        <v>80</v>
      </c>
      <c r="D197" s="27" t="s">
        <v>40</v>
      </c>
      <c r="E197" s="27" t="s">
        <v>9</v>
      </c>
      <c r="F197" s="27" t="s">
        <v>46</v>
      </c>
    </row>
    <row r="198" spans="1:6" x14ac:dyDescent="0.3">
      <c r="A198" s="12">
        <v>1</v>
      </c>
      <c r="B198" s="14">
        <v>1</v>
      </c>
      <c r="C198" s="13" t="s">
        <v>81</v>
      </c>
      <c r="D198" s="8" t="s">
        <v>29</v>
      </c>
      <c r="E198" s="15" t="s">
        <v>42</v>
      </c>
      <c r="F198" s="15" t="s">
        <v>72</v>
      </c>
    </row>
    <row r="199" spans="1:6" x14ac:dyDescent="0.3">
      <c r="A199" s="28">
        <v>1</v>
      </c>
      <c r="B199" s="14">
        <v>1</v>
      </c>
      <c r="C199" s="14" t="s">
        <v>81</v>
      </c>
      <c r="D199" s="8" t="s">
        <v>29</v>
      </c>
      <c r="E199" s="27" t="s">
        <v>42</v>
      </c>
      <c r="F199" s="27" t="s">
        <v>67</v>
      </c>
    </row>
    <row r="200" spans="1:6" x14ac:dyDescent="0.3">
      <c r="A200" s="12">
        <v>1</v>
      </c>
      <c r="B200" s="15">
        <v>2</v>
      </c>
      <c r="C200" s="15" t="s">
        <v>80</v>
      </c>
      <c r="D200" s="15" t="s">
        <v>0</v>
      </c>
      <c r="E200" s="15" t="s">
        <v>41</v>
      </c>
      <c r="F200" s="15" t="s">
        <v>45</v>
      </c>
    </row>
    <row r="201" spans="1:6" x14ac:dyDescent="0.3">
      <c r="A201" s="28">
        <v>1</v>
      </c>
      <c r="B201" s="27">
        <v>2</v>
      </c>
      <c r="C201" s="15" t="s">
        <v>80</v>
      </c>
      <c r="D201" s="27" t="s">
        <v>40</v>
      </c>
      <c r="E201" s="27" t="s">
        <v>9</v>
      </c>
      <c r="F201" s="27" t="s">
        <v>45</v>
      </c>
    </row>
    <row r="202" spans="1:6" x14ac:dyDescent="0.3">
      <c r="A202" s="12">
        <v>1</v>
      </c>
      <c r="B202" s="15">
        <v>2</v>
      </c>
      <c r="C202" s="15" t="s">
        <v>80</v>
      </c>
      <c r="D202" s="15" t="s">
        <v>0</v>
      </c>
      <c r="E202" s="15" t="s">
        <v>41</v>
      </c>
      <c r="F202" s="15" t="s">
        <v>48</v>
      </c>
    </row>
    <row r="203" spans="1:6" x14ac:dyDescent="0.3">
      <c r="A203" s="28">
        <v>1</v>
      </c>
      <c r="B203" s="27">
        <v>1</v>
      </c>
      <c r="C203" s="27" t="s">
        <v>81</v>
      </c>
      <c r="D203" s="27" t="s">
        <v>40</v>
      </c>
      <c r="E203" s="27" t="s">
        <v>10</v>
      </c>
      <c r="F203" s="27" t="s">
        <v>48</v>
      </c>
    </row>
    <row r="204" spans="1:6" x14ac:dyDescent="0.3">
      <c r="A204" s="12">
        <v>1</v>
      </c>
      <c r="B204" s="14">
        <v>2</v>
      </c>
      <c r="C204" s="13" t="s">
        <v>80</v>
      </c>
      <c r="D204" s="8" t="s">
        <v>29</v>
      </c>
      <c r="E204" s="15" t="s">
        <v>42</v>
      </c>
      <c r="F204" s="15" t="s">
        <v>71</v>
      </c>
    </row>
    <row r="205" spans="1:6" x14ac:dyDescent="0.3">
      <c r="A205" s="28">
        <v>1</v>
      </c>
      <c r="B205" s="27">
        <v>1</v>
      </c>
      <c r="C205" s="27" t="s">
        <v>81</v>
      </c>
      <c r="D205" s="27" t="s">
        <v>0</v>
      </c>
      <c r="E205" s="27" t="s">
        <v>41</v>
      </c>
      <c r="F205" s="27" t="s">
        <v>44</v>
      </c>
    </row>
    <row r="206" spans="1:6" x14ac:dyDescent="0.3">
      <c r="A206" s="12">
        <v>1</v>
      </c>
      <c r="B206" s="15">
        <v>2</v>
      </c>
      <c r="C206" s="15" t="s">
        <v>80</v>
      </c>
      <c r="D206" s="15" t="s">
        <v>40</v>
      </c>
      <c r="E206" s="15" t="s">
        <v>10</v>
      </c>
      <c r="F206" s="15" t="s">
        <v>44</v>
      </c>
    </row>
    <row r="207" spans="1:6" x14ac:dyDescent="0.3">
      <c r="A207" s="28">
        <v>1</v>
      </c>
      <c r="B207" s="27">
        <v>2</v>
      </c>
      <c r="C207" s="27" t="s">
        <v>80</v>
      </c>
      <c r="D207" s="27" t="s">
        <v>0</v>
      </c>
      <c r="E207" s="27" t="s">
        <v>41</v>
      </c>
      <c r="F207" s="27" t="s">
        <v>43</v>
      </c>
    </row>
    <row r="208" spans="1:6" x14ac:dyDescent="0.3">
      <c r="A208" s="12">
        <v>1</v>
      </c>
      <c r="B208" s="15">
        <v>1</v>
      </c>
      <c r="C208" s="15" t="s">
        <v>81</v>
      </c>
      <c r="D208" s="15" t="s">
        <v>40</v>
      </c>
      <c r="E208" s="15" t="s">
        <v>10</v>
      </c>
      <c r="F208" s="15" t="s">
        <v>43</v>
      </c>
    </row>
    <row r="209" spans="1:6" x14ac:dyDescent="0.3">
      <c r="A209" s="28">
        <v>1</v>
      </c>
      <c r="B209" s="14">
        <v>2</v>
      </c>
      <c r="C209" s="14" t="s">
        <v>80</v>
      </c>
      <c r="D209" s="8" t="s">
        <v>29</v>
      </c>
      <c r="E209" s="27" t="s">
        <v>42</v>
      </c>
      <c r="F209" s="27" t="s">
        <v>73</v>
      </c>
    </row>
    <row r="210" spans="1:6" x14ac:dyDescent="0.3">
      <c r="A210" s="12">
        <v>1</v>
      </c>
      <c r="B210" s="15">
        <v>1</v>
      </c>
      <c r="C210" s="15" t="s">
        <v>81</v>
      </c>
      <c r="D210" s="15" t="s">
        <v>0</v>
      </c>
      <c r="E210" s="15" t="s">
        <v>41</v>
      </c>
      <c r="F210" s="15" t="s">
        <v>50</v>
      </c>
    </row>
    <row r="211" spans="1:6" x14ac:dyDescent="0.3">
      <c r="A211" s="28">
        <v>1</v>
      </c>
      <c r="B211" s="27">
        <v>1</v>
      </c>
      <c r="C211" s="15" t="s">
        <v>81</v>
      </c>
      <c r="D211" s="27" t="s">
        <v>40</v>
      </c>
      <c r="E211" s="27" t="s">
        <v>9</v>
      </c>
      <c r="F211" s="27" t="s">
        <v>50</v>
      </c>
    </row>
    <row r="212" spans="1:6" x14ac:dyDescent="0.3">
      <c r="A212" s="12">
        <v>1</v>
      </c>
      <c r="B212" s="14">
        <v>2</v>
      </c>
      <c r="C212" s="13" t="s">
        <v>80</v>
      </c>
      <c r="D212" s="8" t="s">
        <v>29</v>
      </c>
      <c r="E212" s="15" t="s">
        <v>42</v>
      </c>
      <c r="F212" s="15" t="s">
        <v>68</v>
      </c>
    </row>
    <row r="213" spans="1:6" x14ac:dyDescent="0.3">
      <c r="A213" s="28">
        <v>1</v>
      </c>
      <c r="B213" s="27">
        <v>1</v>
      </c>
      <c r="C213" s="27" t="s">
        <v>81</v>
      </c>
      <c r="D213" s="27" t="s">
        <v>0</v>
      </c>
      <c r="E213" s="27" t="s">
        <v>41</v>
      </c>
      <c r="F213" s="27" t="s">
        <v>47</v>
      </c>
    </row>
    <row r="214" spans="1:6" x14ac:dyDescent="0.3">
      <c r="A214" s="12">
        <v>1</v>
      </c>
      <c r="B214" s="15">
        <v>1</v>
      </c>
      <c r="C214" s="15" t="s">
        <v>81</v>
      </c>
      <c r="D214" s="15" t="s">
        <v>40</v>
      </c>
      <c r="E214" s="15" t="s">
        <v>9</v>
      </c>
      <c r="F214" s="15" t="s">
        <v>47</v>
      </c>
    </row>
    <row r="215" spans="1:6" x14ac:dyDescent="0.3">
      <c r="A215" s="28">
        <v>1</v>
      </c>
      <c r="B215" s="14">
        <v>1</v>
      </c>
      <c r="C215" s="14" t="s">
        <v>81</v>
      </c>
      <c r="D215" s="8" t="s">
        <v>29</v>
      </c>
      <c r="E215" s="27" t="s">
        <v>42</v>
      </c>
      <c r="F215" s="27" t="s">
        <v>74</v>
      </c>
    </row>
    <row r="216" spans="1:6" x14ac:dyDescent="0.3">
      <c r="A216" s="12">
        <v>1</v>
      </c>
      <c r="B216" s="14">
        <v>2</v>
      </c>
      <c r="C216" s="13" t="s">
        <v>80</v>
      </c>
      <c r="D216" s="8" t="s">
        <v>29</v>
      </c>
      <c r="E216" s="15" t="s">
        <v>42</v>
      </c>
      <c r="F216" s="15" t="s">
        <v>69</v>
      </c>
    </row>
    <row r="217" spans="1:6" x14ac:dyDescent="0.3">
      <c r="A217" s="28">
        <v>1</v>
      </c>
      <c r="B217" s="27">
        <v>1</v>
      </c>
      <c r="C217" s="27" t="s">
        <v>81</v>
      </c>
      <c r="D217" s="27" t="s">
        <v>0</v>
      </c>
      <c r="E217" s="27" t="s">
        <v>41</v>
      </c>
      <c r="F217" s="27" t="s">
        <v>49</v>
      </c>
    </row>
    <row r="218" spans="1:6" x14ac:dyDescent="0.3">
      <c r="A218" s="12">
        <v>1</v>
      </c>
      <c r="B218" s="15">
        <v>2</v>
      </c>
      <c r="C218" s="15" t="s">
        <v>80</v>
      </c>
      <c r="D218" s="15" t="s">
        <v>40</v>
      </c>
      <c r="E218" s="15" t="s">
        <v>10</v>
      </c>
      <c r="F218" s="15" t="s">
        <v>49</v>
      </c>
    </row>
    <row r="219" spans="1:6" x14ac:dyDescent="0.3">
      <c r="A219" s="28">
        <v>1</v>
      </c>
      <c r="B219" s="14">
        <v>1</v>
      </c>
      <c r="C219" s="14" t="s">
        <v>81</v>
      </c>
      <c r="D219" s="8" t="s">
        <v>29</v>
      </c>
      <c r="E219" s="27" t="s">
        <v>42</v>
      </c>
      <c r="F219" s="27" t="s">
        <v>70</v>
      </c>
    </row>
    <row r="220" spans="1:6" x14ac:dyDescent="0.3">
      <c r="A220" s="4">
        <v>2</v>
      </c>
      <c r="B220" s="4">
        <v>1</v>
      </c>
      <c r="C220" s="7" t="s">
        <v>81</v>
      </c>
      <c r="D220" s="4" t="s">
        <v>0</v>
      </c>
      <c r="E220" s="4" t="s">
        <v>41</v>
      </c>
      <c r="F220" s="4" t="s">
        <v>54</v>
      </c>
    </row>
    <row r="221" spans="1:6" x14ac:dyDescent="0.3">
      <c r="A221" s="15">
        <v>2</v>
      </c>
      <c r="B221" s="15">
        <v>1</v>
      </c>
      <c r="C221" s="12" t="s">
        <v>81</v>
      </c>
      <c r="D221" s="15" t="s">
        <v>40</v>
      </c>
      <c r="E221" s="15" t="s">
        <v>9</v>
      </c>
      <c r="F221" s="15" t="s">
        <v>54</v>
      </c>
    </row>
    <row r="222" spans="1:6" x14ac:dyDescent="0.3">
      <c r="A222" s="4">
        <v>2</v>
      </c>
      <c r="B222" s="9">
        <v>2</v>
      </c>
      <c r="C222" s="9" t="s">
        <v>80</v>
      </c>
      <c r="D222" s="9" t="s">
        <v>29</v>
      </c>
      <c r="E222" s="4" t="s">
        <v>42</v>
      </c>
      <c r="F222" s="4" t="s">
        <v>46</v>
      </c>
    </row>
    <row r="223" spans="1:6" x14ac:dyDescent="0.3">
      <c r="A223" s="15">
        <v>2</v>
      </c>
      <c r="B223" s="15">
        <v>1</v>
      </c>
      <c r="C223" s="15" t="s">
        <v>81</v>
      </c>
      <c r="D223" s="15" t="s">
        <v>0</v>
      </c>
      <c r="E223" s="15" t="s">
        <v>41</v>
      </c>
      <c r="F223" s="15" t="s">
        <v>56</v>
      </c>
    </row>
    <row r="224" spans="1:6" x14ac:dyDescent="0.3">
      <c r="A224" s="4">
        <v>2</v>
      </c>
      <c r="B224" s="4">
        <v>1</v>
      </c>
      <c r="C224" s="4" t="s">
        <v>81</v>
      </c>
      <c r="D224" s="4" t="s">
        <v>40</v>
      </c>
      <c r="E224" s="4" t="s">
        <v>9</v>
      </c>
      <c r="F224" s="4" t="s">
        <v>56</v>
      </c>
    </row>
    <row r="225" spans="1:6" x14ac:dyDescent="0.3">
      <c r="A225" s="15">
        <v>2</v>
      </c>
      <c r="B225" s="15">
        <v>1</v>
      </c>
      <c r="C225" s="15" t="s">
        <v>81</v>
      </c>
      <c r="D225" s="15" t="s">
        <v>0</v>
      </c>
      <c r="E225" s="15" t="s">
        <v>41</v>
      </c>
      <c r="F225" s="15" t="s">
        <v>58</v>
      </c>
    </row>
    <row r="226" spans="1:6" x14ac:dyDescent="0.3">
      <c r="A226" s="4">
        <v>2</v>
      </c>
      <c r="B226" s="4">
        <v>2</v>
      </c>
      <c r="C226" s="4" t="s">
        <v>80</v>
      </c>
      <c r="D226" s="4" t="s">
        <v>40</v>
      </c>
      <c r="E226" s="4" t="s">
        <v>10</v>
      </c>
      <c r="F226" s="4" t="s">
        <v>58</v>
      </c>
    </row>
    <row r="227" spans="1:6" x14ac:dyDescent="0.3">
      <c r="A227" s="15">
        <v>2</v>
      </c>
      <c r="B227" s="9">
        <v>2</v>
      </c>
      <c r="C227" s="9" t="s">
        <v>80</v>
      </c>
      <c r="D227" s="9" t="s">
        <v>29</v>
      </c>
      <c r="E227" s="15" t="s">
        <v>42</v>
      </c>
      <c r="F227" s="15" t="s">
        <v>45</v>
      </c>
    </row>
    <row r="228" spans="1:6" x14ac:dyDescent="0.3">
      <c r="A228" s="4">
        <v>2</v>
      </c>
      <c r="B228" s="4">
        <v>2</v>
      </c>
      <c r="C228" s="4" t="s">
        <v>80</v>
      </c>
      <c r="D228" s="4" t="s">
        <v>0</v>
      </c>
      <c r="E228" s="4" t="s">
        <v>41</v>
      </c>
      <c r="F228" s="4" t="s">
        <v>52</v>
      </c>
    </row>
    <row r="229" spans="1:6" x14ac:dyDescent="0.3">
      <c r="A229" s="15">
        <v>2</v>
      </c>
      <c r="B229" s="15">
        <v>1</v>
      </c>
      <c r="C229" s="15" t="s">
        <v>81</v>
      </c>
      <c r="D229" s="15" t="s">
        <v>40</v>
      </c>
      <c r="E229" s="15" t="s">
        <v>10</v>
      </c>
      <c r="F229" s="15" t="s">
        <v>52</v>
      </c>
    </row>
    <row r="230" spans="1:6" x14ac:dyDescent="0.3">
      <c r="A230" s="4">
        <v>2</v>
      </c>
      <c r="B230" s="4">
        <v>1</v>
      </c>
      <c r="C230" s="4" t="s">
        <v>81</v>
      </c>
      <c r="D230" s="4" t="s">
        <v>0</v>
      </c>
      <c r="E230" s="4" t="s">
        <v>41</v>
      </c>
      <c r="F230" s="4" t="s">
        <v>57</v>
      </c>
    </row>
    <row r="231" spans="1:6" x14ac:dyDescent="0.3">
      <c r="A231" s="15">
        <v>2</v>
      </c>
      <c r="B231" s="15">
        <v>2</v>
      </c>
      <c r="C231" s="15" t="s">
        <v>80</v>
      </c>
      <c r="D231" s="15" t="s">
        <v>40</v>
      </c>
      <c r="E231" s="15" t="s">
        <v>10</v>
      </c>
      <c r="F231" s="15" t="s">
        <v>57</v>
      </c>
    </row>
    <row r="232" spans="1:6" x14ac:dyDescent="0.3">
      <c r="A232" s="4">
        <v>2</v>
      </c>
      <c r="B232" s="9">
        <v>1</v>
      </c>
      <c r="C232" s="9" t="s">
        <v>81</v>
      </c>
      <c r="D232" s="9" t="s">
        <v>29</v>
      </c>
      <c r="E232" s="4" t="s">
        <v>42</v>
      </c>
      <c r="F232" s="4" t="s">
        <v>48</v>
      </c>
    </row>
    <row r="233" spans="1:6" x14ac:dyDescent="0.3">
      <c r="A233" s="15">
        <v>2</v>
      </c>
      <c r="B233" s="9">
        <v>1</v>
      </c>
      <c r="C233" s="9" t="s">
        <v>81</v>
      </c>
      <c r="D233" s="9" t="s">
        <v>29</v>
      </c>
      <c r="E233" s="15" t="s">
        <v>42</v>
      </c>
      <c r="F233" s="15" t="s">
        <v>44</v>
      </c>
    </row>
    <row r="234" spans="1:6" x14ac:dyDescent="0.3">
      <c r="A234" s="4">
        <v>2</v>
      </c>
      <c r="B234" s="4">
        <v>2</v>
      </c>
      <c r="C234" s="4" t="s">
        <v>80</v>
      </c>
      <c r="D234" s="4" t="s">
        <v>0</v>
      </c>
      <c r="E234" s="4" t="s">
        <v>41</v>
      </c>
      <c r="F234" s="4" t="s">
        <v>55</v>
      </c>
    </row>
    <row r="235" spans="1:6" x14ac:dyDescent="0.3">
      <c r="A235" s="15">
        <v>2</v>
      </c>
      <c r="B235" s="15">
        <v>2</v>
      </c>
      <c r="C235" s="15" t="s">
        <v>80</v>
      </c>
      <c r="D235" s="15" t="s">
        <v>40</v>
      </c>
      <c r="E235" s="15" t="s">
        <v>9</v>
      </c>
      <c r="F235" s="15" t="s">
        <v>55</v>
      </c>
    </row>
    <row r="236" spans="1:6" x14ac:dyDescent="0.3">
      <c r="A236" s="4">
        <v>2</v>
      </c>
      <c r="B236" s="9">
        <v>1</v>
      </c>
      <c r="C236" s="9" t="s">
        <v>81</v>
      </c>
      <c r="D236" s="9" t="s">
        <v>29</v>
      </c>
      <c r="E236" s="4" t="s">
        <v>42</v>
      </c>
      <c r="F236" s="4" t="s">
        <v>43</v>
      </c>
    </row>
    <row r="237" spans="1:6" x14ac:dyDescent="0.3">
      <c r="A237" s="15">
        <v>2</v>
      </c>
      <c r="B237" s="15">
        <v>2</v>
      </c>
      <c r="C237" s="15" t="s">
        <v>80</v>
      </c>
      <c r="D237" s="15" t="s">
        <v>0</v>
      </c>
      <c r="E237" s="15" t="s">
        <v>41</v>
      </c>
      <c r="F237" s="15" t="s">
        <v>51</v>
      </c>
    </row>
    <row r="238" spans="1:6" x14ac:dyDescent="0.3">
      <c r="A238" s="4">
        <v>2</v>
      </c>
      <c r="B238" s="4">
        <v>2</v>
      </c>
      <c r="C238" s="4" t="s">
        <v>80</v>
      </c>
      <c r="D238" s="4" t="s">
        <v>40</v>
      </c>
      <c r="E238" s="4" t="s">
        <v>9</v>
      </c>
      <c r="F238" s="4" t="s">
        <v>51</v>
      </c>
    </row>
    <row r="239" spans="1:6" x14ac:dyDescent="0.3">
      <c r="A239" s="15">
        <v>2</v>
      </c>
      <c r="B239" s="9">
        <v>2</v>
      </c>
      <c r="C239" s="9" t="s">
        <v>80</v>
      </c>
      <c r="D239" s="9" t="s">
        <v>29</v>
      </c>
      <c r="E239" s="15" t="s">
        <v>42</v>
      </c>
      <c r="F239" s="15" t="s">
        <v>50</v>
      </c>
    </row>
    <row r="240" spans="1:6" x14ac:dyDescent="0.3">
      <c r="A240" s="4">
        <v>2</v>
      </c>
      <c r="B240" s="9">
        <v>1</v>
      </c>
      <c r="C240" s="9" t="s">
        <v>81</v>
      </c>
      <c r="D240" s="9" t="s">
        <v>29</v>
      </c>
      <c r="E240" s="4" t="s">
        <v>42</v>
      </c>
      <c r="F240" s="4" t="s">
        <v>47</v>
      </c>
    </row>
    <row r="241" spans="1:6" x14ac:dyDescent="0.3">
      <c r="A241" s="15">
        <v>2</v>
      </c>
      <c r="B241" s="9">
        <v>2</v>
      </c>
      <c r="C241" s="9" t="s">
        <v>80</v>
      </c>
      <c r="D241" s="9" t="s">
        <v>29</v>
      </c>
      <c r="E241" s="15" t="s">
        <v>42</v>
      </c>
      <c r="F241" s="15" t="s">
        <v>49</v>
      </c>
    </row>
    <row r="242" spans="1:6" x14ac:dyDescent="0.3">
      <c r="A242" s="4">
        <v>2</v>
      </c>
      <c r="B242" s="4">
        <v>2</v>
      </c>
      <c r="C242" s="4" t="s">
        <v>80</v>
      </c>
      <c r="D242" s="4" t="s">
        <v>0</v>
      </c>
      <c r="E242" s="4" t="s">
        <v>41</v>
      </c>
      <c r="F242" s="4" t="s">
        <v>53</v>
      </c>
    </row>
    <row r="243" spans="1:6" x14ac:dyDescent="0.3">
      <c r="A243" s="15">
        <v>2</v>
      </c>
      <c r="B243" s="15">
        <v>1</v>
      </c>
      <c r="C243" s="15" t="s">
        <v>81</v>
      </c>
      <c r="D243" s="15" t="s">
        <v>40</v>
      </c>
      <c r="E243" s="15" t="s">
        <v>10</v>
      </c>
      <c r="F243" s="15" t="s">
        <v>53</v>
      </c>
    </row>
    <row r="244" spans="1:6" x14ac:dyDescent="0.3">
      <c r="A244" s="12">
        <v>3</v>
      </c>
      <c r="B244" s="10">
        <v>2</v>
      </c>
      <c r="C244" s="10" t="s">
        <v>80</v>
      </c>
      <c r="D244" s="10" t="s">
        <v>29</v>
      </c>
      <c r="E244" s="15" t="s">
        <v>42</v>
      </c>
      <c r="F244" s="15" t="s">
        <v>54</v>
      </c>
    </row>
    <row r="245" spans="1:6" x14ac:dyDescent="0.3">
      <c r="A245" s="28">
        <v>3</v>
      </c>
      <c r="B245" s="27">
        <v>1</v>
      </c>
      <c r="C245" s="27" t="s">
        <v>81</v>
      </c>
      <c r="D245" s="27" t="s">
        <v>0</v>
      </c>
      <c r="E245" s="27" t="s">
        <v>41</v>
      </c>
      <c r="F245" s="27" t="s">
        <v>64</v>
      </c>
    </row>
    <row r="246" spans="1:6" x14ac:dyDescent="0.3">
      <c r="A246" s="12">
        <v>3</v>
      </c>
      <c r="B246" s="15">
        <v>2</v>
      </c>
      <c r="C246" s="15" t="s">
        <v>80</v>
      </c>
      <c r="D246" s="15" t="s">
        <v>40</v>
      </c>
      <c r="E246" s="15" t="s">
        <v>10</v>
      </c>
      <c r="F246" s="15" t="s">
        <v>64</v>
      </c>
    </row>
    <row r="247" spans="1:6" x14ac:dyDescent="0.3">
      <c r="A247" s="28">
        <v>3</v>
      </c>
      <c r="B247" s="10">
        <v>2</v>
      </c>
      <c r="C247" s="10" t="s">
        <v>80</v>
      </c>
      <c r="D247" s="10" t="s">
        <v>29</v>
      </c>
      <c r="E247" s="27" t="s">
        <v>42</v>
      </c>
      <c r="F247" s="27" t="s">
        <v>56</v>
      </c>
    </row>
    <row r="248" spans="1:6" x14ac:dyDescent="0.3">
      <c r="A248" s="12">
        <v>3</v>
      </c>
      <c r="B248" s="15">
        <v>2</v>
      </c>
      <c r="C248" s="15" t="s">
        <v>80</v>
      </c>
      <c r="D248" s="15" t="s">
        <v>0</v>
      </c>
      <c r="E248" s="15" t="s">
        <v>41</v>
      </c>
      <c r="F248" s="15" t="s">
        <v>62</v>
      </c>
    </row>
    <row r="249" spans="1:6" x14ac:dyDescent="0.3">
      <c r="A249" s="28">
        <v>3</v>
      </c>
      <c r="B249" s="27">
        <v>1</v>
      </c>
      <c r="C249" s="27" t="s">
        <v>81</v>
      </c>
      <c r="D249" s="27" t="s">
        <v>40</v>
      </c>
      <c r="E249" s="27" t="s">
        <v>10</v>
      </c>
      <c r="F249" s="27" t="s">
        <v>62</v>
      </c>
    </row>
    <row r="250" spans="1:6" x14ac:dyDescent="0.3">
      <c r="A250" s="12">
        <v>3</v>
      </c>
      <c r="B250" s="15">
        <v>1</v>
      </c>
      <c r="C250" s="15" t="s">
        <v>81</v>
      </c>
      <c r="D250" s="15" t="s">
        <v>0</v>
      </c>
      <c r="E250" s="15" t="s">
        <v>41</v>
      </c>
      <c r="F250" s="15" t="s">
        <v>66</v>
      </c>
    </row>
    <row r="251" spans="1:6" x14ac:dyDescent="0.3">
      <c r="A251" s="28">
        <v>3</v>
      </c>
      <c r="B251" s="27">
        <v>2</v>
      </c>
      <c r="C251" s="27" t="s">
        <v>80</v>
      </c>
      <c r="D251" s="27" t="s">
        <v>40</v>
      </c>
      <c r="E251" s="27" t="s">
        <v>10</v>
      </c>
      <c r="F251" s="27" t="s">
        <v>66</v>
      </c>
    </row>
    <row r="252" spans="1:6" x14ac:dyDescent="0.3">
      <c r="A252" s="12">
        <v>3</v>
      </c>
      <c r="B252" s="10">
        <v>1</v>
      </c>
      <c r="C252" s="10" t="s">
        <v>81</v>
      </c>
      <c r="D252" s="10" t="s">
        <v>29</v>
      </c>
      <c r="E252" s="15" t="s">
        <v>42</v>
      </c>
      <c r="F252" s="15" t="s">
        <v>58</v>
      </c>
    </row>
    <row r="253" spans="1:6" x14ac:dyDescent="0.3">
      <c r="A253" s="28">
        <v>3</v>
      </c>
      <c r="B253" s="27">
        <v>2</v>
      </c>
      <c r="C253" s="27" t="s">
        <v>80</v>
      </c>
      <c r="D253" s="27" t="s">
        <v>0</v>
      </c>
      <c r="E253" s="27" t="s">
        <v>41</v>
      </c>
      <c r="F253" s="27" t="s">
        <v>65</v>
      </c>
    </row>
    <row r="254" spans="1:6" x14ac:dyDescent="0.3">
      <c r="A254" s="12">
        <v>3</v>
      </c>
      <c r="B254" s="15">
        <v>2</v>
      </c>
      <c r="C254" s="15" t="s">
        <v>80</v>
      </c>
      <c r="D254" s="15" t="s">
        <v>40</v>
      </c>
      <c r="E254" s="15" t="s">
        <v>9</v>
      </c>
      <c r="F254" s="15" t="s">
        <v>65</v>
      </c>
    </row>
    <row r="255" spans="1:6" x14ac:dyDescent="0.3">
      <c r="A255" s="28">
        <v>3</v>
      </c>
      <c r="B255" s="10">
        <v>1</v>
      </c>
      <c r="C255" s="10" t="s">
        <v>81</v>
      </c>
      <c r="D255" s="10" t="s">
        <v>29</v>
      </c>
      <c r="E255" s="27" t="s">
        <v>42</v>
      </c>
      <c r="F255" s="27" t="s">
        <v>52</v>
      </c>
    </row>
    <row r="256" spans="1:6" x14ac:dyDescent="0.3">
      <c r="A256" s="12">
        <v>3</v>
      </c>
      <c r="B256" s="10">
        <v>1</v>
      </c>
      <c r="C256" s="10" t="s">
        <v>81</v>
      </c>
      <c r="D256" s="10" t="s">
        <v>29</v>
      </c>
      <c r="E256" s="15" t="s">
        <v>42</v>
      </c>
      <c r="F256" s="15" t="s">
        <v>57</v>
      </c>
    </row>
    <row r="257" spans="1:6" x14ac:dyDescent="0.3">
      <c r="A257" s="28">
        <v>3</v>
      </c>
      <c r="B257" s="27">
        <v>2</v>
      </c>
      <c r="C257" s="27" t="s">
        <v>80</v>
      </c>
      <c r="D257" s="27" t="s">
        <v>0</v>
      </c>
      <c r="E257" s="27" t="s">
        <v>41</v>
      </c>
      <c r="F257" s="27" t="s">
        <v>59</v>
      </c>
    </row>
    <row r="258" spans="1:6" x14ac:dyDescent="0.3">
      <c r="A258" s="12">
        <v>3</v>
      </c>
      <c r="B258" s="15">
        <v>2</v>
      </c>
      <c r="C258" s="15" t="s">
        <v>80</v>
      </c>
      <c r="D258" s="15" t="s">
        <v>40</v>
      </c>
      <c r="E258" s="15" t="s">
        <v>9</v>
      </c>
      <c r="F258" s="15" t="s">
        <v>59</v>
      </c>
    </row>
    <row r="259" spans="1:6" x14ac:dyDescent="0.3">
      <c r="A259" s="28">
        <v>3</v>
      </c>
      <c r="B259" s="27">
        <v>2</v>
      </c>
      <c r="C259" s="27" t="s">
        <v>80</v>
      </c>
      <c r="D259" s="27" t="s">
        <v>0</v>
      </c>
      <c r="E259" s="27" t="s">
        <v>41</v>
      </c>
      <c r="F259" s="27" t="s">
        <v>61</v>
      </c>
    </row>
    <row r="260" spans="1:6" x14ac:dyDescent="0.3">
      <c r="A260" s="12">
        <v>3</v>
      </c>
      <c r="B260" s="15">
        <v>1</v>
      </c>
      <c r="C260" s="15" t="s">
        <v>81</v>
      </c>
      <c r="D260" s="15" t="s">
        <v>40</v>
      </c>
      <c r="E260" s="15" t="s">
        <v>10</v>
      </c>
      <c r="F260" s="15" t="s">
        <v>61</v>
      </c>
    </row>
    <row r="261" spans="1:6" x14ac:dyDescent="0.3">
      <c r="A261" s="28">
        <v>3</v>
      </c>
      <c r="B261" s="10">
        <v>2</v>
      </c>
      <c r="C261" s="10" t="s">
        <v>80</v>
      </c>
      <c r="D261" s="10" t="s">
        <v>29</v>
      </c>
      <c r="E261" s="27" t="s">
        <v>42</v>
      </c>
      <c r="F261" s="27" t="s">
        <v>55</v>
      </c>
    </row>
    <row r="262" spans="1:6" x14ac:dyDescent="0.3">
      <c r="A262" s="12">
        <v>3</v>
      </c>
      <c r="B262" s="15">
        <v>1</v>
      </c>
      <c r="C262" s="15" t="s">
        <v>81</v>
      </c>
      <c r="D262" s="15" t="s">
        <v>0</v>
      </c>
      <c r="E262" s="15" t="s">
        <v>41</v>
      </c>
      <c r="F262" s="15" t="s">
        <v>63</v>
      </c>
    </row>
    <row r="263" spans="1:6" x14ac:dyDescent="0.3">
      <c r="A263" s="28">
        <v>3</v>
      </c>
      <c r="B263" s="27">
        <v>1</v>
      </c>
      <c r="C263" s="27" t="s">
        <v>81</v>
      </c>
      <c r="D263" s="27" t="s">
        <v>40</v>
      </c>
      <c r="E263" s="27" t="s">
        <v>9</v>
      </c>
      <c r="F263" s="27" t="s">
        <v>63</v>
      </c>
    </row>
    <row r="264" spans="1:6" x14ac:dyDescent="0.3">
      <c r="A264" s="12">
        <v>3</v>
      </c>
      <c r="B264" s="10">
        <v>2</v>
      </c>
      <c r="C264" s="10" t="s">
        <v>80</v>
      </c>
      <c r="D264" s="10" t="s">
        <v>29</v>
      </c>
      <c r="E264" s="15" t="s">
        <v>42</v>
      </c>
      <c r="F264" s="15" t="s">
        <v>51</v>
      </c>
    </row>
    <row r="265" spans="1:6" x14ac:dyDescent="0.3">
      <c r="A265" s="28">
        <v>3</v>
      </c>
      <c r="B265" s="27">
        <v>1</v>
      </c>
      <c r="C265" s="27" t="s">
        <v>81</v>
      </c>
      <c r="D265" s="27" t="s">
        <v>0</v>
      </c>
      <c r="E265" s="27" t="s">
        <v>41</v>
      </c>
      <c r="F265" s="27" t="s">
        <v>60</v>
      </c>
    </row>
    <row r="266" spans="1:6" x14ac:dyDescent="0.3">
      <c r="A266" s="12">
        <v>3</v>
      </c>
      <c r="B266" s="15">
        <v>1</v>
      </c>
      <c r="C266" s="15" t="s">
        <v>81</v>
      </c>
      <c r="D266" s="15" t="s">
        <v>40</v>
      </c>
      <c r="E266" s="15" t="s">
        <v>9</v>
      </c>
      <c r="F266" s="15" t="s">
        <v>60</v>
      </c>
    </row>
    <row r="267" spans="1:6" x14ac:dyDescent="0.3">
      <c r="A267" s="28">
        <v>3</v>
      </c>
      <c r="B267" s="10">
        <v>1</v>
      </c>
      <c r="C267" s="10" t="s">
        <v>81</v>
      </c>
      <c r="D267" s="10" t="s">
        <v>29</v>
      </c>
      <c r="E267" s="27" t="s">
        <v>42</v>
      </c>
      <c r="F267" s="27" t="s">
        <v>53</v>
      </c>
    </row>
    <row r="268" spans="1:6" x14ac:dyDescent="0.3">
      <c r="A268" s="4">
        <v>4</v>
      </c>
      <c r="B268" s="11">
        <v>2</v>
      </c>
      <c r="C268" s="11" t="s">
        <v>80</v>
      </c>
      <c r="D268" s="11" t="s">
        <v>29</v>
      </c>
      <c r="E268" s="4" t="s">
        <v>42</v>
      </c>
      <c r="F268" s="4" t="s">
        <v>64</v>
      </c>
    </row>
    <row r="269" spans="1:6" x14ac:dyDescent="0.3">
      <c r="A269" s="15">
        <v>4</v>
      </c>
      <c r="B269" s="15">
        <v>1</v>
      </c>
      <c r="C269" s="15" t="s">
        <v>81</v>
      </c>
      <c r="D269" s="15" t="s">
        <v>0</v>
      </c>
      <c r="E269" s="15" t="s">
        <v>41</v>
      </c>
      <c r="F269" s="15" t="s">
        <v>72</v>
      </c>
    </row>
    <row r="270" spans="1:6" x14ac:dyDescent="0.3">
      <c r="A270" s="4">
        <v>4</v>
      </c>
      <c r="B270" s="4">
        <v>1</v>
      </c>
      <c r="C270" s="4" t="s">
        <v>81</v>
      </c>
      <c r="D270" s="4" t="s">
        <v>40</v>
      </c>
      <c r="E270" s="4" t="s">
        <v>9</v>
      </c>
      <c r="F270" s="4" t="s">
        <v>72</v>
      </c>
    </row>
    <row r="271" spans="1:6" x14ac:dyDescent="0.3">
      <c r="A271" s="15">
        <v>4</v>
      </c>
      <c r="B271" s="15">
        <v>1</v>
      </c>
      <c r="C271" s="15" t="s">
        <v>81</v>
      </c>
      <c r="D271" s="15" t="s">
        <v>0</v>
      </c>
      <c r="E271" s="15" t="s">
        <v>41</v>
      </c>
      <c r="F271" s="15" t="s">
        <v>67</v>
      </c>
    </row>
    <row r="272" spans="1:6" x14ac:dyDescent="0.3">
      <c r="A272" s="4">
        <v>4</v>
      </c>
      <c r="B272" s="4">
        <v>2</v>
      </c>
      <c r="C272" s="4" t="s">
        <v>80</v>
      </c>
      <c r="D272" s="4" t="s">
        <v>40</v>
      </c>
      <c r="E272" s="4" t="s">
        <v>10</v>
      </c>
      <c r="F272" s="4" t="s">
        <v>67</v>
      </c>
    </row>
    <row r="273" spans="1:6" x14ac:dyDescent="0.3">
      <c r="A273" s="15">
        <v>4</v>
      </c>
      <c r="B273" s="11">
        <v>1</v>
      </c>
      <c r="C273" s="11" t="s">
        <v>81</v>
      </c>
      <c r="D273" s="11" t="s">
        <v>29</v>
      </c>
      <c r="E273" s="15" t="s">
        <v>42</v>
      </c>
      <c r="F273" s="15" t="s">
        <v>62</v>
      </c>
    </row>
    <row r="274" spans="1:6" x14ac:dyDescent="0.3">
      <c r="A274" s="4">
        <v>4</v>
      </c>
      <c r="B274" s="4">
        <v>2</v>
      </c>
      <c r="C274" s="4" t="s">
        <v>80</v>
      </c>
      <c r="D274" s="4" t="s">
        <v>0</v>
      </c>
      <c r="E274" s="4" t="s">
        <v>41</v>
      </c>
      <c r="F274" s="4" t="s">
        <v>71</v>
      </c>
    </row>
    <row r="275" spans="1:6" x14ac:dyDescent="0.3">
      <c r="A275" s="15">
        <v>4</v>
      </c>
      <c r="B275" s="15">
        <v>2</v>
      </c>
      <c r="C275" s="15" t="s">
        <v>80</v>
      </c>
      <c r="D275" s="15" t="s">
        <v>40</v>
      </c>
      <c r="E275" s="15" t="s">
        <v>9</v>
      </c>
      <c r="F275" s="15" t="s">
        <v>71</v>
      </c>
    </row>
    <row r="276" spans="1:6" x14ac:dyDescent="0.3">
      <c r="A276" s="4">
        <v>4</v>
      </c>
      <c r="B276" s="4">
        <v>2</v>
      </c>
      <c r="C276" s="4" t="s">
        <v>80</v>
      </c>
      <c r="D276" s="4" t="s">
        <v>0</v>
      </c>
      <c r="E276" s="4" t="s">
        <v>41</v>
      </c>
      <c r="F276" s="4" t="s">
        <v>73</v>
      </c>
    </row>
    <row r="277" spans="1:6" x14ac:dyDescent="0.3">
      <c r="A277" s="15">
        <v>4</v>
      </c>
      <c r="B277" s="15">
        <v>1</v>
      </c>
      <c r="C277" s="15" t="s">
        <v>81</v>
      </c>
      <c r="D277" s="15" t="s">
        <v>40</v>
      </c>
      <c r="E277" s="15" t="s">
        <v>10</v>
      </c>
      <c r="F277" s="15" t="s">
        <v>73</v>
      </c>
    </row>
    <row r="278" spans="1:6" x14ac:dyDescent="0.3">
      <c r="A278" s="4">
        <v>4</v>
      </c>
      <c r="B278" s="11">
        <v>2</v>
      </c>
      <c r="C278" s="11" t="s">
        <v>80</v>
      </c>
      <c r="D278" s="11" t="s">
        <v>29</v>
      </c>
      <c r="E278" s="4" t="s">
        <v>42</v>
      </c>
      <c r="F278" s="4" t="s">
        <v>66</v>
      </c>
    </row>
    <row r="279" spans="1:6" x14ac:dyDescent="0.3">
      <c r="A279" s="15">
        <v>4</v>
      </c>
      <c r="B279" s="11">
        <v>1</v>
      </c>
      <c r="C279" s="11" t="s">
        <v>81</v>
      </c>
      <c r="D279" s="11" t="s">
        <v>29</v>
      </c>
      <c r="E279" s="15" t="s">
        <v>42</v>
      </c>
      <c r="F279" s="15" t="s">
        <v>65</v>
      </c>
    </row>
    <row r="280" spans="1:6" x14ac:dyDescent="0.3">
      <c r="A280" s="4">
        <v>4</v>
      </c>
      <c r="B280" s="11">
        <v>2</v>
      </c>
      <c r="C280" s="11" t="s">
        <v>80</v>
      </c>
      <c r="D280" s="11" t="s">
        <v>29</v>
      </c>
      <c r="E280" s="4" t="s">
        <v>42</v>
      </c>
      <c r="F280" s="4" t="s">
        <v>59</v>
      </c>
    </row>
    <row r="281" spans="1:6" x14ac:dyDescent="0.3">
      <c r="A281" s="15">
        <v>4</v>
      </c>
      <c r="B281" s="15">
        <v>1</v>
      </c>
      <c r="C281" s="15" t="s">
        <v>81</v>
      </c>
      <c r="D281" s="15" t="s">
        <v>0</v>
      </c>
      <c r="E281" s="15" t="s">
        <v>41</v>
      </c>
      <c r="F281" s="15" t="s">
        <v>68</v>
      </c>
    </row>
    <row r="282" spans="1:6" x14ac:dyDescent="0.3">
      <c r="A282" s="4">
        <v>4</v>
      </c>
      <c r="B282" s="4">
        <v>2</v>
      </c>
      <c r="C282" s="4" t="s">
        <v>80</v>
      </c>
      <c r="D282" s="4" t="s">
        <v>40</v>
      </c>
      <c r="E282" s="4" t="s">
        <v>10</v>
      </c>
      <c r="F282" s="4" t="s">
        <v>68</v>
      </c>
    </row>
    <row r="283" spans="1:6" x14ac:dyDescent="0.3">
      <c r="A283" s="15">
        <v>4</v>
      </c>
      <c r="B283" s="15">
        <v>2</v>
      </c>
      <c r="C283" s="15" t="s">
        <v>80</v>
      </c>
      <c r="D283" s="15" t="s">
        <v>0</v>
      </c>
      <c r="E283" s="15" t="s">
        <v>41</v>
      </c>
      <c r="F283" s="15" t="s">
        <v>74</v>
      </c>
    </row>
    <row r="284" spans="1:6" x14ac:dyDescent="0.3">
      <c r="A284" s="4">
        <v>4</v>
      </c>
      <c r="B284" s="4">
        <v>2</v>
      </c>
      <c r="C284" s="4" t="s">
        <v>80</v>
      </c>
      <c r="D284" s="4" t="s">
        <v>40</v>
      </c>
      <c r="E284" s="4" t="s">
        <v>9</v>
      </c>
      <c r="F284" s="4" t="s">
        <v>74</v>
      </c>
    </row>
    <row r="285" spans="1:6" x14ac:dyDescent="0.3">
      <c r="A285" s="15">
        <v>4</v>
      </c>
      <c r="B285" s="11">
        <v>1</v>
      </c>
      <c r="C285" s="11" t="s">
        <v>81</v>
      </c>
      <c r="D285" s="11" t="s">
        <v>29</v>
      </c>
      <c r="E285" s="15" t="s">
        <v>42</v>
      </c>
      <c r="F285" s="15" t="s">
        <v>61</v>
      </c>
    </row>
    <row r="286" spans="1:6" x14ac:dyDescent="0.3">
      <c r="A286" s="4">
        <v>4</v>
      </c>
      <c r="B286" s="4">
        <v>2</v>
      </c>
      <c r="C286" s="4" t="s">
        <v>80</v>
      </c>
      <c r="D286" s="4" t="s">
        <v>0</v>
      </c>
      <c r="E286" s="4" t="s">
        <v>41</v>
      </c>
      <c r="F286" s="4" t="s">
        <v>69</v>
      </c>
    </row>
    <row r="287" spans="1:6" x14ac:dyDescent="0.3">
      <c r="A287" s="15">
        <v>4</v>
      </c>
      <c r="B287" s="15">
        <v>1</v>
      </c>
      <c r="C287" s="15" t="s">
        <v>81</v>
      </c>
      <c r="D287" s="15" t="s">
        <v>40</v>
      </c>
      <c r="E287" s="15" t="s">
        <v>10</v>
      </c>
      <c r="F287" s="15" t="s">
        <v>69</v>
      </c>
    </row>
    <row r="288" spans="1:6" x14ac:dyDescent="0.3">
      <c r="A288" s="4">
        <v>4</v>
      </c>
      <c r="B288" s="4">
        <v>1</v>
      </c>
      <c r="C288" s="4" t="s">
        <v>81</v>
      </c>
      <c r="D288" s="4" t="s">
        <v>0</v>
      </c>
      <c r="E288" s="4" t="s">
        <v>41</v>
      </c>
      <c r="F288" s="4" t="s">
        <v>70</v>
      </c>
    </row>
    <row r="289" spans="1:6" x14ac:dyDescent="0.3">
      <c r="A289" s="15">
        <v>4</v>
      </c>
      <c r="B289" s="15">
        <v>1</v>
      </c>
      <c r="C289" s="15" t="s">
        <v>81</v>
      </c>
      <c r="D289" s="15" t="s">
        <v>40</v>
      </c>
      <c r="E289" s="15" t="s">
        <v>9</v>
      </c>
      <c r="F289" s="15" t="s">
        <v>70</v>
      </c>
    </row>
    <row r="290" spans="1:6" x14ac:dyDescent="0.3">
      <c r="A290" s="4">
        <v>4</v>
      </c>
      <c r="B290" s="11">
        <v>2</v>
      </c>
      <c r="C290" s="11" t="s">
        <v>80</v>
      </c>
      <c r="D290" s="11" t="s">
        <v>29</v>
      </c>
      <c r="E290" s="4" t="s">
        <v>42</v>
      </c>
      <c r="F290" s="4" t="s">
        <v>63</v>
      </c>
    </row>
    <row r="291" spans="1:6" x14ac:dyDescent="0.3">
      <c r="A291" s="15">
        <v>4</v>
      </c>
      <c r="B291" s="11">
        <v>1</v>
      </c>
      <c r="C291" s="11" t="s">
        <v>81</v>
      </c>
      <c r="D291" s="11" t="s">
        <v>29</v>
      </c>
      <c r="E291" s="15" t="s">
        <v>42</v>
      </c>
      <c r="F291" s="15" t="s">
        <v>60</v>
      </c>
    </row>
    <row r="292" spans="1:6" x14ac:dyDescent="0.3">
      <c r="A292" s="2" t="s">
        <v>25</v>
      </c>
      <c r="B292" s="2"/>
      <c r="C292" s="2"/>
      <c r="D292" s="2"/>
      <c r="E292" s="2"/>
      <c r="F292" s="2"/>
    </row>
    <row r="293" spans="1:6" x14ac:dyDescent="0.3">
      <c r="A293" s="12">
        <v>1</v>
      </c>
      <c r="B293" s="12">
        <v>2</v>
      </c>
      <c r="C293" s="12" t="s">
        <v>80</v>
      </c>
      <c r="D293" s="15" t="s">
        <v>0</v>
      </c>
      <c r="E293" s="15" t="s">
        <v>41</v>
      </c>
      <c r="F293" s="15" t="s">
        <v>43</v>
      </c>
    </row>
    <row r="294" spans="1:6" x14ac:dyDescent="0.3">
      <c r="A294" s="7">
        <v>1</v>
      </c>
      <c r="B294" s="7">
        <v>2</v>
      </c>
      <c r="C294" s="7" t="s">
        <v>80</v>
      </c>
      <c r="D294" s="4" t="s">
        <v>40</v>
      </c>
      <c r="E294" s="4" t="s">
        <v>9</v>
      </c>
      <c r="F294" s="4" t="s">
        <v>43</v>
      </c>
    </row>
    <row r="295" spans="1:6" x14ac:dyDescent="0.3">
      <c r="A295" s="12">
        <v>1</v>
      </c>
      <c r="B295" s="14">
        <v>1</v>
      </c>
      <c r="C295" s="13" t="s">
        <v>81</v>
      </c>
      <c r="D295" s="8" t="s">
        <v>29</v>
      </c>
      <c r="E295" s="15" t="s">
        <v>42</v>
      </c>
      <c r="F295" s="15" t="s">
        <v>74</v>
      </c>
    </row>
    <row r="296" spans="1:6" x14ac:dyDescent="0.3">
      <c r="A296" s="7">
        <v>1</v>
      </c>
      <c r="B296" s="7">
        <v>2</v>
      </c>
      <c r="C296" s="7" t="s">
        <v>80</v>
      </c>
      <c r="D296" s="4" t="s">
        <v>0</v>
      </c>
      <c r="E296" s="4" t="s">
        <v>41</v>
      </c>
      <c r="F296" s="4" t="s">
        <v>44</v>
      </c>
    </row>
    <row r="297" spans="1:6" x14ac:dyDescent="0.3">
      <c r="A297" s="12">
        <v>1</v>
      </c>
      <c r="B297" s="12">
        <v>2</v>
      </c>
      <c r="C297" s="12" t="s">
        <v>80</v>
      </c>
      <c r="D297" s="15" t="s">
        <v>40</v>
      </c>
      <c r="E297" s="15" t="s">
        <v>9</v>
      </c>
      <c r="F297" s="15" t="s">
        <v>44</v>
      </c>
    </row>
    <row r="298" spans="1:6" x14ac:dyDescent="0.3">
      <c r="A298" s="7">
        <v>1</v>
      </c>
      <c r="B298" s="14">
        <v>1</v>
      </c>
      <c r="C298" s="14" t="s">
        <v>81</v>
      </c>
      <c r="D298" s="8" t="s">
        <v>29</v>
      </c>
      <c r="E298" s="4" t="s">
        <v>42</v>
      </c>
      <c r="F298" s="4" t="s">
        <v>73</v>
      </c>
    </row>
    <row r="299" spans="1:6" x14ac:dyDescent="0.3">
      <c r="A299" s="12">
        <v>1</v>
      </c>
      <c r="B299" s="12">
        <v>2</v>
      </c>
      <c r="C299" s="12" t="s">
        <v>80</v>
      </c>
      <c r="D299" s="15" t="s">
        <v>0</v>
      </c>
      <c r="E299" s="15" t="s">
        <v>41</v>
      </c>
      <c r="F299" s="15" t="s">
        <v>45</v>
      </c>
    </row>
    <row r="300" spans="1:6" x14ac:dyDescent="0.3">
      <c r="A300" s="7">
        <v>1</v>
      </c>
      <c r="B300" s="7">
        <v>1</v>
      </c>
      <c r="C300" s="7" t="s">
        <v>81</v>
      </c>
      <c r="D300" s="4" t="s">
        <v>40</v>
      </c>
      <c r="E300" s="4" t="s">
        <v>10</v>
      </c>
      <c r="F300" s="4" t="s">
        <v>45</v>
      </c>
    </row>
    <row r="301" spans="1:6" x14ac:dyDescent="0.3">
      <c r="A301" s="12">
        <v>1</v>
      </c>
      <c r="B301" s="12">
        <v>1</v>
      </c>
      <c r="C301" s="12" t="s">
        <v>81</v>
      </c>
      <c r="D301" s="15" t="s">
        <v>0</v>
      </c>
      <c r="E301" s="15" t="s">
        <v>41</v>
      </c>
      <c r="F301" s="15" t="s">
        <v>46</v>
      </c>
    </row>
    <row r="302" spans="1:6" x14ac:dyDescent="0.3">
      <c r="A302" s="7">
        <v>1</v>
      </c>
      <c r="B302" s="7">
        <v>2</v>
      </c>
      <c r="C302" s="7" t="s">
        <v>80</v>
      </c>
      <c r="D302" s="4" t="s">
        <v>40</v>
      </c>
      <c r="E302" s="4" t="s">
        <v>10</v>
      </c>
      <c r="F302" s="4" t="s">
        <v>46</v>
      </c>
    </row>
    <row r="303" spans="1:6" x14ac:dyDescent="0.3">
      <c r="A303" s="12">
        <v>1</v>
      </c>
      <c r="B303" s="14">
        <v>2</v>
      </c>
      <c r="C303" s="13" t="s">
        <v>80</v>
      </c>
      <c r="D303" s="8" t="s">
        <v>29</v>
      </c>
      <c r="E303" s="15" t="s">
        <v>42</v>
      </c>
      <c r="F303" s="15" t="s">
        <v>72</v>
      </c>
    </row>
    <row r="304" spans="1:6" x14ac:dyDescent="0.3">
      <c r="A304" s="7">
        <v>1</v>
      </c>
      <c r="B304" s="7">
        <v>2</v>
      </c>
      <c r="C304" s="7" t="s">
        <v>80</v>
      </c>
      <c r="D304" s="4" t="s">
        <v>0</v>
      </c>
      <c r="E304" s="4" t="s">
        <v>41</v>
      </c>
      <c r="F304" s="4" t="s">
        <v>47</v>
      </c>
    </row>
    <row r="305" spans="1:6" x14ac:dyDescent="0.3">
      <c r="A305" s="12">
        <v>1</v>
      </c>
      <c r="B305" s="12">
        <v>1</v>
      </c>
      <c r="C305" s="12" t="s">
        <v>81</v>
      </c>
      <c r="D305" s="15" t="s">
        <v>40</v>
      </c>
      <c r="E305" s="15" t="s">
        <v>10</v>
      </c>
      <c r="F305" s="15" t="s">
        <v>47</v>
      </c>
    </row>
    <row r="306" spans="1:6" x14ac:dyDescent="0.3">
      <c r="A306" s="7">
        <v>1</v>
      </c>
      <c r="B306" s="14">
        <v>2</v>
      </c>
      <c r="C306" s="14" t="s">
        <v>80</v>
      </c>
      <c r="D306" s="8" t="s">
        <v>29</v>
      </c>
      <c r="E306" s="4" t="s">
        <v>42</v>
      </c>
      <c r="F306" s="4" t="s">
        <v>71</v>
      </c>
    </row>
    <row r="307" spans="1:6" x14ac:dyDescent="0.3">
      <c r="A307" s="12">
        <v>1</v>
      </c>
      <c r="B307" s="12">
        <v>1</v>
      </c>
      <c r="C307" s="12" t="s">
        <v>81</v>
      </c>
      <c r="D307" s="15" t="s">
        <v>0</v>
      </c>
      <c r="E307" s="15" t="s">
        <v>41</v>
      </c>
      <c r="F307" s="15" t="s">
        <v>48</v>
      </c>
    </row>
    <row r="308" spans="1:6" x14ac:dyDescent="0.3">
      <c r="A308" s="7">
        <v>1</v>
      </c>
      <c r="B308" s="7">
        <v>1</v>
      </c>
      <c r="C308" s="7" t="s">
        <v>81</v>
      </c>
      <c r="D308" s="4" t="s">
        <v>40</v>
      </c>
      <c r="E308" s="4" t="s">
        <v>9</v>
      </c>
      <c r="F308" s="4" t="s">
        <v>48</v>
      </c>
    </row>
    <row r="309" spans="1:6" x14ac:dyDescent="0.3">
      <c r="A309" s="12">
        <v>1</v>
      </c>
      <c r="B309" s="14">
        <v>2</v>
      </c>
      <c r="C309" s="13" t="s">
        <v>80</v>
      </c>
      <c r="D309" s="8" t="s">
        <v>29</v>
      </c>
      <c r="E309" s="15" t="s">
        <v>42</v>
      </c>
      <c r="F309" s="15" t="s">
        <v>70</v>
      </c>
    </row>
    <row r="310" spans="1:6" x14ac:dyDescent="0.3">
      <c r="A310" s="7">
        <v>1</v>
      </c>
      <c r="B310" s="7">
        <v>1</v>
      </c>
      <c r="C310" s="7" t="s">
        <v>81</v>
      </c>
      <c r="D310" s="4" t="s">
        <v>0</v>
      </c>
      <c r="E310" s="4" t="s">
        <v>41</v>
      </c>
      <c r="F310" s="4" t="s">
        <v>49</v>
      </c>
    </row>
    <row r="311" spans="1:6" x14ac:dyDescent="0.3">
      <c r="A311" s="12">
        <v>1</v>
      </c>
      <c r="B311" s="12">
        <v>1</v>
      </c>
      <c r="C311" s="12" t="s">
        <v>81</v>
      </c>
      <c r="D311" s="15" t="s">
        <v>40</v>
      </c>
      <c r="E311" s="15" t="s">
        <v>9</v>
      </c>
      <c r="F311" s="15" t="s">
        <v>49</v>
      </c>
    </row>
    <row r="312" spans="1:6" x14ac:dyDescent="0.3">
      <c r="A312" s="7">
        <v>1</v>
      </c>
      <c r="B312" s="14">
        <v>2</v>
      </c>
      <c r="C312" s="14" t="s">
        <v>80</v>
      </c>
      <c r="D312" s="8" t="s">
        <v>29</v>
      </c>
      <c r="E312" s="4" t="s">
        <v>42</v>
      </c>
      <c r="F312" s="4" t="s">
        <v>69</v>
      </c>
    </row>
    <row r="313" spans="1:6" x14ac:dyDescent="0.3">
      <c r="A313" s="12">
        <v>1</v>
      </c>
      <c r="B313" s="12">
        <v>1</v>
      </c>
      <c r="C313" s="12" t="s">
        <v>81</v>
      </c>
      <c r="D313" s="15" t="s">
        <v>0</v>
      </c>
      <c r="E313" s="15" t="s">
        <v>41</v>
      </c>
      <c r="F313" s="15" t="s">
        <v>50</v>
      </c>
    </row>
    <row r="314" spans="1:6" x14ac:dyDescent="0.3">
      <c r="A314" s="7">
        <v>1</v>
      </c>
      <c r="B314" s="7">
        <v>2</v>
      </c>
      <c r="C314" s="7" t="s">
        <v>80</v>
      </c>
      <c r="D314" s="4" t="s">
        <v>40</v>
      </c>
      <c r="E314" s="4" t="s">
        <v>10</v>
      </c>
      <c r="F314" s="4" t="s">
        <v>50</v>
      </c>
    </row>
    <row r="315" spans="1:6" x14ac:dyDescent="0.3">
      <c r="A315" s="12">
        <v>1</v>
      </c>
      <c r="B315" s="14">
        <v>1</v>
      </c>
      <c r="C315" s="13" t="s">
        <v>81</v>
      </c>
      <c r="D315" s="8" t="s">
        <v>29</v>
      </c>
      <c r="E315" s="15" t="s">
        <v>42</v>
      </c>
      <c r="F315" s="15" t="s">
        <v>68</v>
      </c>
    </row>
    <row r="316" spans="1:6" x14ac:dyDescent="0.3">
      <c r="A316" s="7">
        <v>1</v>
      </c>
      <c r="B316" s="14">
        <v>1</v>
      </c>
      <c r="C316" s="14" t="s">
        <v>81</v>
      </c>
      <c r="D316" s="8" t="s">
        <v>29</v>
      </c>
      <c r="E316" s="4" t="s">
        <v>42</v>
      </c>
      <c r="F316" s="4" t="s">
        <v>67</v>
      </c>
    </row>
    <row r="317" spans="1:6" x14ac:dyDescent="0.3">
      <c r="A317" s="27">
        <v>2</v>
      </c>
      <c r="B317" s="9">
        <v>2</v>
      </c>
      <c r="C317" s="9" t="s">
        <v>80</v>
      </c>
      <c r="D317" s="9" t="s">
        <v>29</v>
      </c>
      <c r="E317" s="27" t="s">
        <v>42</v>
      </c>
      <c r="F317" s="27" t="s">
        <v>43</v>
      </c>
    </row>
    <row r="318" spans="1:6" x14ac:dyDescent="0.3">
      <c r="A318" s="15">
        <v>2</v>
      </c>
      <c r="B318" s="12">
        <v>1</v>
      </c>
      <c r="C318" s="12" t="s">
        <v>81</v>
      </c>
      <c r="D318" s="15" t="s">
        <v>0</v>
      </c>
      <c r="E318" s="15" t="s">
        <v>41</v>
      </c>
      <c r="F318" s="15" t="s">
        <v>58</v>
      </c>
    </row>
    <row r="319" spans="1:6" x14ac:dyDescent="0.3">
      <c r="A319" s="27">
        <v>2</v>
      </c>
      <c r="B319" s="28">
        <v>1</v>
      </c>
      <c r="C319" s="28" t="s">
        <v>81</v>
      </c>
      <c r="D319" s="27" t="s">
        <v>40</v>
      </c>
      <c r="E319" s="27" t="s">
        <v>9</v>
      </c>
      <c r="F319" s="27" t="s">
        <v>58</v>
      </c>
    </row>
    <row r="320" spans="1:6" x14ac:dyDescent="0.3">
      <c r="A320" s="15">
        <v>2</v>
      </c>
      <c r="B320" s="9">
        <v>2</v>
      </c>
      <c r="C320" s="9" t="s">
        <v>80</v>
      </c>
      <c r="D320" s="9" t="s">
        <v>29</v>
      </c>
      <c r="E320" s="15" t="s">
        <v>42</v>
      </c>
      <c r="F320" s="15" t="s">
        <v>44</v>
      </c>
    </row>
    <row r="321" spans="1:6" x14ac:dyDescent="0.3">
      <c r="A321" s="15">
        <v>2</v>
      </c>
      <c r="B321" s="12">
        <v>1</v>
      </c>
      <c r="C321" s="28" t="s">
        <v>81</v>
      </c>
      <c r="D321" s="15" t="s">
        <v>0</v>
      </c>
      <c r="E321" s="15" t="s">
        <v>41</v>
      </c>
      <c r="F321" s="15" t="s">
        <v>57</v>
      </c>
    </row>
    <row r="322" spans="1:6" x14ac:dyDescent="0.3">
      <c r="A322" s="4">
        <v>2</v>
      </c>
      <c r="B322" s="7">
        <v>1</v>
      </c>
      <c r="C322" s="7" t="s">
        <v>81</v>
      </c>
      <c r="D322" s="4" t="s">
        <v>40</v>
      </c>
      <c r="E322" s="4" t="s">
        <v>9</v>
      </c>
      <c r="F322" s="4" t="s">
        <v>57</v>
      </c>
    </row>
    <row r="323" spans="1:6" x14ac:dyDescent="0.3">
      <c r="A323" s="15">
        <v>2</v>
      </c>
      <c r="B323" s="12">
        <v>1</v>
      </c>
      <c r="C323" s="28" t="s">
        <v>81</v>
      </c>
      <c r="D323" s="15" t="s">
        <v>0</v>
      </c>
      <c r="E323" s="15" t="s">
        <v>41</v>
      </c>
      <c r="F323" s="15" t="s">
        <v>56</v>
      </c>
    </row>
    <row r="324" spans="1:6" x14ac:dyDescent="0.3">
      <c r="A324" s="4">
        <v>2</v>
      </c>
      <c r="B324" s="7">
        <v>2</v>
      </c>
      <c r="C324" s="7" t="s">
        <v>80</v>
      </c>
      <c r="D324" s="4" t="s">
        <v>40</v>
      </c>
      <c r="E324" s="4" t="s">
        <v>10</v>
      </c>
      <c r="F324" s="4" t="s">
        <v>56</v>
      </c>
    </row>
    <row r="325" spans="1:6" x14ac:dyDescent="0.3">
      <c r="A325" s="15">
        <v>2</v>
      </c>
      <c r="B325" s="12">
        <v>2</v>
      </c>
      <c r="C325" s="28" t="s">
        <v>80</v>
      </c>
      <c r="D325" s="15" t="s">
        <v>0</v>
      </c>
      <c r="E325" s="15" t="s">
        <v>41</v>
      </c>
      <c r="F325" s="15" t="s">
        <v>55</v>
      </c>
    </row>
    <row r="326" spans="1:6" x14ac:dyDescent="0.3">
      <c r="A326" s="4">
        <v>2</v>
      </c>
      <c r="B326" s="7">
        <v>1</v>
      </c>
      <c r="C326" s="7" t="s">
        <v>81</v>
      </c>
      <c r="D326" s="4" t="s">
        <v>40</v>
      </c>
      <c r="E326" s="4" t="s">
        <v>10</v>
      </c>
      <c r="F326" s="4" t="s">
        <v>55</v>
      </c>
    </row>
    <row r="327" spans="1:6" x14ac:dyDescent="0.3">
      <c r="A327" s="27">
        <v>2</v>
      </c>
      <c r="B327" s="9">
        <v>2</v>
      </c>
      <c r="C327" s="9" t="s">
        <v>80</v>
      </c>
      <c r="D327" s="9" t="s">
        <v>29</v>
      </c>
      <c r="E327" s="27" t="s">
        <v>42</v>
      </c>
      <c r="F327" s="27" t="s">
        <v>45</v>
      </c>
    </row>
    <row r="328" spans="1:6" x14ac:dyDescent="0.3">
      <c r="A328" s="15">
        <v>2</v>
      </c>
      <c r="B328" s="12">
        <v>1</v>
      </c>
      <c r="C328" s="7" t="s">
        <v>81</v>
      </c>
      <c r="D328" s="15" t="s">
        <v>0</v>
      </c>
      <c r="E328" s="15" t="s">
        <v>41</v>
      </c>
      <c r="F328" s="15" t="s">
        <v>54</v>
      </c>
    </row>
    <row r="329" spans="1:6" x14ac:dyDescent="0.3">
      <c r="A329" s="27">
        <v>2</v>
      </c>
      <c r="B329" s="28">
        <v>2</v>
      </c>
      <c r="C329" s="28" t="s">
        <v>80</v>
      </c>
      <c r="D329" s="27" t="s">
        <v>40</v>
      </c>
      <c r="E329" s="27" t="s">
        <v>10</v>
      </c>
      <c r="F329" s="27" t="s">
        <v>54</v>
      </c>
    </row>
    <row r="330" spans="1:6" x14ac:dyDescent="0.3">
      <c r="A330" s="15">
        <v>2</v>
      </c>
      <c r="B330" s="9">
        <v>1</v>
      </c>
      <c r="C330" s="9" t="s">
        <v>81</v>
      </c>
      <c r="D330" s="9" t="s">
        <v>29</v>
      </c>
      <c r="E330" s="15" t="s">
        <v>42</v>
      </c>
      <c r="F330" s="15" t="s">
        <v>46</v>
      </c>
    </row>
    <row r="331" spans="1:6" x14ac:dyDescent="0.3">
      <c r="A331" s="27">
        <v>2</v>
      </c>
      <c r="B331" s="9">
        <v>1</v>
      </c>
      <c r="C331" s="9" t="s">
        <v>81</v>
      </c>
      <c r="D331" s="9" t="s">
        <v>29</v>
      </c>
      <c r="E331" s="27" t="s">
        <v>42</v>
      </c>
      <c r="F331" s="27" t="s">
        <v>47</v>
      </c>
    </row>
    <row r="332" spans="1:6" x14ac:dyDescent="0.3">
      <c r="A332" s="15">
        <v>2</v>
      </c>
      <c r="B332" s="12">
        <v>2</v>
      </c>
      <c r="C332" s="12" t="s">
        <v>80</v>
      </c>
      <c r="D332" s="15" t="s">
        <v>0</v>
      </c>
      <c r="E332" s="15" t="s">
        <v>41</v>
      </c>
      <c r="F332" s="15" t="s">
        <v>53</v>
      </c>
    </row>
    <row r="333" spans="1:6" x14ac:dyDescent="0.3">
      <c r="A333" s="27">
        <v>2</v>
      </c>
      <c r="B333" s="28">
        <v>2</v>
      </c>
      <c r="C333" s="28" t="s">
        <v>80</v>
      </c>
      <c r="D333" s="27" t="s">
        <v>40</v>
      </c>
      <c r="E333" s="27" t="s">
        <v>9</v>
      </c>
      <c r="F333" s="27" t="s">
        <v>53</v>
      </c>
    </row>
    <row r="334" spans="1:6" x14ac:dyDescent="0.3">
      <c r="A334" s="15">
        <v>2</v>
      </c>
      <c r="B334" s="9">
        <v>1</v>
      </c>
      <c r="C334" s="9" t="s">
        <v>81</v>
      </c>
      <c r="D334" s="9" t="s">
        <v>29</v>
      </c>
      <c r="E334" s="15" t="s">
        <v>42</v>
      </c>
      <c r="F334" s="15" t="s">
        <v>48</v>
      </c>
    </row>
    <row r="335" spans="1:6" x14ac:dyDescent="0.3">
      <c r="A335" s="27">
        <v>2</v>
      </c>
      <c r="B335" s="28">
        <v>2</v>
      </c>
      <c r="C335" s="28" t="s">
        <v>80</v>
      </c>
      <c r="D335" s="27" t="s">
        <v>0</v>
      </c>
      <c r="E335" s="27" t="s">
        <v>41</v>
      </c>
      <c r="F335" s="27" t="s">
        <v>52</v>
      </c>
    </row>
    <row r="336" spans="1:6" x14ac:dyDescent="0.3">
      <c r="A336" s="15">
        <v>2</v>
      </c>
      <c r="B336" s="12">
        <v>2</v>
      </c>
      <c r="C336" s="12" t="s">
        <v>80</v>
      </c>
      <c r="D336" s="15" t="s">
        <v>40</v>
      </c>
      <c r="E336" s="15" t="s">
        <v>9</v>
      </c>
      <c r="F336" s="15" t="s">
        <v>52</v>
      </c>
    </row>
    <row r="337" spans="1:6" x14ac:dyDescent="0.3">
      <c r="A337" s="27">
        <v>2</v>
      </c>
      <c r="B337" s="9">
        <v>2</v>
      </c>
      <c r="C337" s="9" t="s">
        <v>80</v>
      </c>
      <c r="D337" s="9" t="s">
        <v>29</v>
      </c>
      <c r="E337" s="27" t="s">
        <v>42</v>
      </c>
      <c r="F337" s="27" t="s">
        <v>49</v>
      </c>
    </row>
    <row r="338" spans="1:6" x14ac:dyDescent="0.3">
      <c r="A338" s="15">
        <v>2</v>
      </c>
      <c r="B338" s="9">
        <v>1</v>
      </c>
      <c r="C338" s="9" t="s">
        <v>81</v>
      </c>
      <c r="D338" s="9" t="s">
        <v>29</v>
      </c>
      <c r="E338" s="15" t="s">
        <v>42</v>
      </c>
      <c r="F338" s="15" t="s">
        <v>50</v>
      </c>
    </row>
    <row r="339" spans="1:6" x14ac:dyDescent="0.3">
      <c r="A339" s="27">
        <v>2</v>
      </c>
      <c r="B339" s="28">
        <v>2</v>
      </c>
      <c r="C339" s="28" t="s">
        <v>80</v>
      </c>
      <c r="D339" s="27" t="s">
        <v>0</v>
      </c>
      <c r="E339" s="27" t="s">
        <v>41</v>
      </c>
      <c r="F339" s="27" t="s">
        <v>51</v>
      </c>
    </row>
    <row r="340" spans="1:6" x14ac:dyDescent="0.3">
      <c r="A340" s="15">
        <v>2</v>
      </c>
      <c r="B340" s="12">
        <v>1</v>
      </c>
      <c r="C340" s="12" t="s">
        <v>81</v>
      </c>
      <c r="D340" s="15" t="s">
        <v>40</v>
      </c>
      <c r="E340" s="15" t="s">
        <v>10</v>
      </c>
      <c r="F340" s="15" t="s">
        <v>51</v>
      </c>
    </row>
    <row r="341" spans="1:6" x14ac:dyDescent="0.3">
      <c r="A341" s="12">
        <v>3</v>
      </c>
      <c r="B341" s="12">
        <v>1</v>
      </c>
      <c r="C341" s="12" t="s">
        <v>81</v>
      </c>
      <c r="D341" s="15" t="s">
        <v>0</v>
      </c>
      <c r="E341" s="15" t="s">
        <v>41</v>
      </c>
      <c r="F341" s="15" t="s">
        <v>59</v>
      </c>
    </row>
    <row r="342" spans="1:6" x14ac:dyDescent="0.3">
      <c r="A342" s="7">
        <v>3</v>
      </c>
      <c r="B342" s="7">
        <v>2</v>
      </c>
      <c r="C342" s="7" t="s">
        <v>80</v>
      </c>
      <c r="D342" s="4" t="s">
        <v>40</v>
      </c>
      <c r="E342" s="4" t="s">
        <v>10</v>
      </c>
      <c r="F342" s="4" t="s">
        <v>59</v>
      </c>
    </row>
    <row r="343" spans="1:6" x14ac:dyDescent="0.3">
      <c r="A343" s="12">
        <v>3</v>
      </c>
      <c r="B343" s="12">
        <v>2</v>
      </c>
      <c r="C343" s="12" t="s">
        <v>80</v>
      </c>
      <c r="D343" s="15" t="s">
        <v>0</v>
      </c>
      <c r="E343" s="15" t="s">
        <v>41</v>
      </c>
      <c r="F343" s="15" t="s">
        <v>60</v>
      </c>
    </row>
    <row r="344" spans="1:6" x14ac:dyDescent="0.3">
      <c r="A344" s="7">
        <v>3</v>
      </c>
      <c r="B344" s="7">
        <v>1</v>
      </c>
      <c r="C344" s="7" t="s">
        <v>81</v>
      </c>
      <c r="D344" s="4" t="s">
        <v>40</v>
      </c>
      <c r="E344" s="4" t="s">
        <v>10</v>
      </c>
      <c r="F344" s="4" t="s">
        <v>60</v>
      </c>
    </row>
    <row r="345" spans="1:6" x14ac:dyDescent="0.3">
      <c r="A345" s="12">
        <v>3</v>
      </c>
      <c r="B345" s="10">
        <v>1</v>
      </c>
      <c r="C345" s="10" t="s">
        <v>81</v>
      </c>
      <c r="D345" s="10" t="s">
        <v>29</v>
      </c>
      <c r="E345" s="15" t="s">
        <v>42</v>
      </c>
      <c r="F345" s="15" t="s">
        <v>58</v>
      </c>
    </row>
    <row r="346" spans="1:6" x14ac:dyDescent="0.3">
      <c r="A346" s="7">
        <v>3</v>
      </c>
      <c r="B346" s="7">
        <v>1</v>
      </c>
      <c r="C346" s="7" t="s">
        <v>81</v>
      </c>
      <c r="D346" s="4" t="s">
        <v>0</v>
      </c>
      <c r="E346" s="4" t="s">
        <v>41</v>
      </c>
      <c r="F346" s="4" t="s">
        <v>61</v>
      </c>
    </row>
    <row r="347" spans="1:6" x14ac:dyDescent="0.3">
      <c r="A347" s="12">
        <v>3</v>
      </c>
      <c r="B347" s="12">
        <v>2</v>
      </c>
      <c r="C347" s="12" t="s">
        <v>80</v>
      </c>
      <c r="D347" s="15" t="s">
        <v>40</v>
      </c>
      <c r="E347" s="15" t="s">
        <v>10</v>
      </c>
      <c r="F347" s="15" t="s">
        <v>61</v>
      </c>
    </row>
    <row r="348" spans="1:6" x14ac:dyDescent="0.3">
      <c r="A348" s="7">
        <v>3</v>
      </c>
      <c r="B348" s="10">
        <v>1</v>
      </c>
      <c r="C348" s="10" t="s">
        <v>81</v>
      </c>
      <c r="D348" s="10" t="s">
        <v>29</v>
      </c>
      <c r="E348" s="4" t="s">
        <v>42</v>
      </c>
      <c r="F348" s="4" t="s">
        <v>57</v>
      </c>
    </row>
    <row r="349" spans="1:6" x14ac:dyDescent="0.3">
      <c r="A349" s="12">
        <v>3</v>
      </c>
      <c r="B349" s="12">
        <v>2</v>
      </c>
      <c r="C349" s="12" t="s">
        <v>80</v>
      </c>
      <c r="D349" s="15" t="s">
        <v>0</v>
      </c>
      <c r="E349" s="15" t="s">
        <v>41</v>
      </c>
      <c r="F349" s="15" t="s">
        <v>62</v>
      </c>
    </row>
    <row r="350" spans="1:6" x14ac:dyDescent="0.3">
      <c r="A350" s="7">
        <v>3</v>
      </c>
      <c r="B350" s="7">
        <v>2</v>
      </c>
      <c r="C350" s="7" t="s">
        <v>80</v>
      </c>
      <c r="D350" s="4" t="s">
        <v>40</v>
      </c>
      <c r="E350" s="4" t="s">
        <v>9</v>
      </c>
      <c r="F350" s="4" t="s">
        <v>62</v>
      </c>
    </row>
    <row r="351" spans="1:6" x14ac:dyDescent="0.3">
      <c r="A351" s="12">
        <v>3</v>
      </c>
      <c r="B351" s="10">
        <v>2</v>
      </c>
      <c r="C351" s="10" t="s">
        <v>80</v>
      </c>
      <c r="D351" s="10" t="s">
        <v>29</v>
      </c>
      <c r="E351" s="15" t="s">
        <v>42</v>
      </c>
      <c r="F351" s="15" t="s">
        <v>56</v>
      </c>
    </row>
    <row r="352" spans="1:6" x14ac:dyDescent="0.3">
      <c r="A352" s="7">
        <v>3</v>
      </c>
      <c r="B352" s="10">
        <v>1</v>
      </c>
      <c r="C352" s="10" t="s">
        <v>81</v>
      </c>
      <c r="D352" s="10" t="s">
        <v>29</v>
      </c>
      <c r="E352" s="4" t="s">
        <v>42</v>
      </c>
      <c r="F352" s="4" t="s">
        <v>55</v>
      </c>
    </row>
    <row r="353" spans="1:6" x14ac:dyDescent="0.3">
      <c r="A353" s="12">
        <v>3</v>
      </c>
      <c r="B353" s="10">
        <v>1</v>
      </c>
      <c r="C353" s="10" t="s">
        <v>81</v>
      </c>
      <c r="D353" s="10" t="s">
        <v>29</v>
      </c>
      <c r="E353" s="15" t="s">
        <v>42</v>
      </c>
      <c r="F353" s="15" t="s">
        <v>54</v>
      </c>
    </row>
    <row r="354" spans="1:6" x14ac:dyDescent="0.3">
      <c r="A354" s="7">
        <v>3</v>
      </c>
      <c r="B354" s="7">
        <v>2</v>
      </c>
      <c r="C354" s="7" t="s">
        <v>80</v>
      </c>
      <c r="D354" s="4" t="s">
        <v>0</v>
      </c>
      <c r="E354" s="4" t="s">
        <v>41</v>
      </c>
      <c r="F354" s="4" t="s">
        <v>63</v>
      </c>
    </row>
    <row r="355" spans="1:6" x14ac:dyDescent="0.3">
      <c r="A355" s="12">
        <v>3</v>
      </c>
      <c r="B355" s="12">
        <v>2</v>
      </c>
      <c r="C355" s="12" t="s">
        <v>80</v>
      </c>
      <c r="D355" s="15" t="s">
        <v>40</v>
      </c>
      <c r="E355" s="15" t="s">
        <v>9</v>
      </c>
      <c r="F355" s="15" t="s">
        <v>63</v>
      </c>
    </row>
    <row r="356" spans="1:6" x14ac:dyDescent="0.3">
      <c r="A356" s="7">
        <v>3</v>
      </c>
      <c r="B356" s="7">
        <v>2</v>
      </c>
      <c r="C356" s="7" t="s">
        <v>80</v>
      </c>
      <c r="D356" s="4" t="s">
        <v>0</v>
      </c>
      <c r="E356" s="4" t="s">
        <v>41</v>
      </c>
      <c r="F356" s="4" t="s">
        <v>64</v>
      </c>
    </row>
    <row r="357" spans="1:6" x14ac:dyDescent="0.3">
      <c r="A357" s="12">
        <v>3</v>
      </c>
      <c r="B357" s="12">
        <v>1</v>
      </c>
      <c r="C357" s="12" t="s">
        <v>81</v>
      </c>
      <c r="D357" s="15" t="s">
        <v>40</v>
      </c>
      <c r="E357" s="15" t="s">
        <v>10</v>
      </c>
      <c r="F357" s="15" t="s">
        <v>64</v>
      </c>
    </row>
    <row r="358" spans="1:6" x14ac:dyDescent="0.3">
      <c r="A358" s="7">
        <v>3</v>
      </c>
      <c r="B358" s="10">
        <v>2</v>
      </c>
      <c r="C358" s="10" t="s">
        <v>80</v>
      </c>
      <c r="D358" s="10" t="s">
        <v>29</v>
      </c>
      <c r="E358" s="4" t="s">
        <v>42</v>
      </c>
      <c r="F358" s="4" t="s">
        <v>53</v>
      </c>
    </row>
    <row r="359" spans="1:6" x14ac:dyDescent="0.3">
      <c r="A359" s="12">
        <v>3</v>
      </c>
      <c r="B359" s="12">
        <v>1</v>
      </c>
      <c r="C359" s="12" t="s">
        <v>81</v>
      </c>
      <c r="D359" s="15" t="s">
        <v>0</v>
      </c>
      <c r="E359" s="15" t="s">
        <v>41</v>
      </c>
      <c r="F359" s="15" t="s">
        <v>65</v>
      </c>
    </row>
    <row r="360" spans="1:6" x14ac:dyDescent="0.3">
      <c r="A360" s="7">
        <v>3</v>
      </c>
      <c r="B360" s="7">
        <v>1</v>
      </c>
      <c r="C360" s="7" t="s">
        <v>81</v>
      </c>
      <c r="D360" s="4" t="s">
        <v>40</v>
      </c>
      <c r="E360" s="4" t="s">
        <v>9</v>
      </c>
      <c r="F360" s="4" t="s">
        <v>65</v>
      </c>
    </row>
    <row r="361" spans="1:6" x14ac:dyDescent="0.3">
      <c r="A361" s="12">
        <v>3</v>
      </c>
      <c r="B361" s="10">
        <v>2</v>
      </c>
      <c r="C361" s="10" t="s">
        <v>80</v>
      </c>
      <c r="D361" s="10" t="s">
        <v>29</v>
      </c>
      <c r="E361" s="15" t="s">
        <v>42</v>
      </c>
      <c r="F361" s="15" t="s">
        <v>52</v>
      </c>
    </row>
    <row r="362" spans="1:6" x14ac:dyDescent="0.3">
      <c r="A362" s="7">
        <v>3</v>
      </c>
      <c r="B362" s="10">
        <v>2</v>
      </c>
      <c r="C362" s="10" t="s">
        <v>80</v>
      </c>
      <c r="D362" s="10" t="s">
        <v>29</v>
      </c>
      <c r="E362" s="4" t="s">
        <v>42</v>
      </c>
      <c r="F362" s="4" t="s">
        <v>51</v>
      </c>
    </row>
    <row r="363" spans="1:6" x14ac:dyDescent="0.3">
      <c r="A363" s="12">
        <v>3</v>
      </c>
      <c r="B363" s="12">
        <v>1</v>
      </c>
      <c r="C363" s="12" t="s">
        <v>81</v>
      </c>
      <c r="D363" s="15" t="s">
        <v>0</v>
      </c>
      <c r="E363" s="15" t="s">
        <v>41</v>
      </c>
      <c r="F363" s="15" t="s">
        <v>66</v>
      </c>
    </row>
    <row r="364" spans="1:6" x14ac:dyDescent="0.3">
      <c r="A364" s="7">
        <v>3</v>
      </c>
      <c r="B364" s="7">
        <v>1</v>
      </c>
      <c r="C364" s="7" t="s">
        <v>81</v>
      </c>
      <c r="D364" s="4" t="s">
        <v>40</v>
      </c>
      <c r="E364" s="4" t="s">
        <v>9</v>
      </c>
      <c r="F364" s="4" t="s">
        <v>66</v>
      </c>
    </row>
    <row r="365" spans="1:6" x14ac:dyDescent="0.3">
      <c r="A365" s="27">
        <v>4</v>
      </c>
      <c r="B365" s="11">
        <v>2</v>
      </c>
      <c r="C365" s="11" t="s">
        <v>80</v>
      </c>
      <c r="D365" s="11" t="s">
        <v>29</v>
      </c>
      <c r="E365" s="27" t="s">
        <v>42</v>
      </c>
      <c r="F365" s="27" t="s">
        <v>59</v>
      </c>
    </row>
    <row r="366" spans="1:6" x14ac:dyDescent="0.3">
      <c r="A366" s="15">
        <v>4</v>
      </c>
      <c r="B366" s="12">
        <v>1</v>
      </c>
      <c r="C366" s="12" t="s">
        <v>81</v>
      </c>
      <c r="D366" s="15" t="s">
        <v>0</v>
      </c>
      <c r="E366" s="15" t="s">
        <v>41</v>
      </c>
      <c r="F366" s="15" t="s">
        <v>74</v>
      </c>
    </row>
    <row r="367" spans="1:6" x14ac:dyDescent="0.3">
      <c r="A367" s="27">
        <v>4</v>
      </c>
      <c r="B367" s="28">
        <v>1</v>
      </c>
      <c r="C367" s="28" t="s">
        <v>81</v>
      </c>
      <c r="D367" s="27" t="s">
        <v>40</v>
      </c>
      <c r="E367" s="27" t="s">
        <v>9</v>
      </c>
      <c r="F367" s="27" t="s">
        <v>74</v>
      </c>
    </row>
    <row r="368" spans="1:6" x14ac:dyDescent="0.3">
      <c r="A368" s="15">
        <v>4</v>
      </c>
      <c r="B368" s="12">
        <v>1</v>
      </c>
      <c r="C368" s="12" t="s">
        <v>81</v>
      </c>
      <c r="D368" s="15" t="s">
        <v>0</v>
      </c>
      <c r="E368" s="15" t="s">
        <v>41</v>
      </c>
      <c r="F368" s="15" t="s">
        <v>73</v>
      </c>
    </row>
    <row r="369" spans="1:6" x14ac:dyDescent="0.3">
      <c r="A369" s="27">
        <v>4</v>
      </c>
      <c r="B369" s="28">
        <v>2</v>
      </c>
      <c r="C369" s="28" t="s">
        <v>80</v>
      </c>
      <c r="D369" s="27" t="s">
        <v>40</v>
      </c>
      <c r="E369" s="27" t="s">
        <v>10</v>
      </c>
      <c r="F369" s="27" t="s">
        <v>73</v>
      </c>
    </row>
    <row r="370" spans="1:6" x14ac:dyDescent="0.3">
      <c r="A370" s="15">
        <v>4</v>
      </c>
      <c r="B370" s="11">
        <v>1</v>
      </c>
      <c r="C370" s="11" t="s">
        <v>81</v>
      </c>
      <c r="D370" s="11" t="s">
        <v>29</v>
      </c>
      <c r="E370" s="15" t="s">
        <v>42</v>
      </c>
      <c r="F370" s="15" t="s">
        <v>60</v>
      </c>
    </row>
    <row r="371" spans="1:6" x14ac:dyDescent="0.3">
      <c r="A371" s="27">
        <v>4</v>
      </c>
      <c r="B371" s="11">
        <v>1</v>
      </c>
      <c r="C371" s="11" t="s">
        <v>81</v>
      </c>
      <c r="D371" s="11" t="s">
        <v>29</v>
      </c>
      <c r="E371" s="27" t="s">
        <v>42</v>
      </c>
      <c r="F371" s="27" t="s">
        <v>61</v>
      </c>
    </row>
    <row r="372" spans="1:6" x14ac:dyDescent="0.3">
      <c r="A372" s="15">
        <v>4</v>
      </c>
      <c r="B372" s="12">
        <v>2</v>
      </c>
      <c r="C372" s="12" t="s">
        <v>80</v>
      </c>
      <c r="D372" s="15" t="s">
        <v>0</v>
      </c>
      <c r="E372" s="15" t="s">
        <v>41</v>
      </c>
      <c r="F372" s="15" t="s">
        <v>72</v>
      </c>
    </row>
    <row r="373" spans="1:6" x14ac:dyDescent="0.3">
      <c r="A373" s="27">
        <v>4</v>
      </c>
      <c r="B373" s="28">
        <v>2</v>
      </c>
      <c r="C373" s="28" t="s">
        <v>80</v>
      </c>
      <c r="D373" s="27" t="s">
        <v>40</v>
      </c>
      <c r="E373" s="27" t="s">
        <v>9</v>
      </c>
      <c r="F373" s="27" t="s">
        <v>72</v>
      </c>
    </row>
    <row r="374" spans="1:6" x14ac:dyDescent="0.3">
      <c r="A374" s="15">
        <v>4</v>
      </c>
      <c r="B374" s="12">
        <v>2</v>
      </c>
      <c r="C374" s="12" t="s">
        <v>80</v>
      </c>
      <c r="D374" s="15" t="s">
        <v>0</v>
      </c>
      <c r="E374" s="15" t="s">
        <v>41</v>
      </c>
      <c r="F374" s="15" t="s">
        <v>71</v>
      </c>
    </row>
    <row r="375" spans="1:6" x14ac:dyDescent="0.3">
      <c r="A375" s="27">
        <v>4</v>
      </c>
      <c r="B375" s="28">
        <v>1</v>
      </c>
      <c r="C375" s="28" t="s">
        <v>81</v>
      </c>
      <c r="D375" s="27" t="s">
        <v>40</v>
      </c>
      <c r="E375" s="27" t="s">
        <v>10</v>
      </c>
      <c r="F375" s="27" t="s">
        <v>71</v>
      </c>
    </row>
    <row r="376" spans="1:6" x14ac:dyDescent="0.3">
      <c r="A376" s="15">
        <v>4</v>
      </c>
      <c r="B376" s="11">
        <v>2</v>
      </c>
      <c r="C376" s="11" t="s">
        <v>80</v>
      </c>
      <c r="D376" s="11" t="s">
        <v>29</v>
      </c>
      <c r="E376" s="15" t="s">
        <v>42</v>
      </c>
      <c r="F376" s="15" t="s">
        <v>62</v>
      </c>
    </row>
    <row r="377" spans="1:6" x14ac:dyDescent="0.3">
      <c r="A377" s="27">
        <v>4</v>
      </c>
      <c r="B377" s="28">
        <v>1</v>
      </c>
      <c r="C377" s="28" t="s">
        <v>81</v>
      </c>
      <c r="D377" s="27" t="s">
        <v>0</v>
      </c>
      <c r="E377" s="27" t="s">
        <v>41</v>
      </c>
      <c r="F377" s="27" t="s">
        <v>70</v>
      </c>
    </row>
    <row r="378" spans="1:6" x14ac:dyDescent="0.3">
      <c r="A378" s="15">
        <v>4</v>
      </c>
      <c r="B378" s="12">
        <v>2</v>
      </c>
      <c r="C378" s="12" t="s">
        <v>80</v>
      </c>
      <c r="D378" s="15" t="s">
        <v>40</v>
      </c>
      <c r="E378" s="15" t="s">
        <v>10</v>
      </c>
      <c r="F378" s="15" t="s">
        <v>70</v>
      </c>
    </row>
    <row r="379" spans="1:6" x14ac:dyDescent="0.3">
      <c r="A379" s="27">
        <v>4</v>
      </c>
      <c r="B379" s="28">
        <v>2</v>
      </c>
      <c r="C379" s="28" t="s">
        <v>80</v>
      </c>
      <c r="D379" s="27" t="s">
        <v>0</v>
      </c>
      <c r="E379" s="27" t="s">
        <v>41</v>
      </c>
      <c r="F379" s="27" t="s">
        <v>69</v>
      </c>
    </row>
    <row r="380" spans="1:6" x14ac:dyDescent="0.3">
      <c r="A380" s="15">
        <v>4</v>
      </c>
      <c r="B380" s="12">
        <v>2</v>
      </c>
      <c r="C380" s="12" t="s">
        <v>80</v>
      </c>
      <c r="D380" s="15" t="s">
        <v>40</v>
      </c>
      <c r="E380" s="15" t="s">
        <v>9</v>
      </c>
      <c r="F380" s="15" t="s">
        <v>69</v>
      </c>
    </row>
    <row r="381" spans="1:6" x14ac:dyDescent="0.3">
      <c r="A381" s="27">
        <v>4</v>
      </c>
      <c r="B381" s="11">
        <v>1</v>
      </c>
      <c r="C381" s="11" t="s">
        <v>81</v>
      </c>
      <c r="D381" s="11" t="s">
        <v>29</v>
      </c>
      <c r="E381" s="27" t="s">
        <v>42</v>
      </c>
      <c r="F381" s="27" t="s">
        <v>63</v>
      </c>
    </row>
    <row r="382" spans="1:6" x14ac:dyDescent="0.3">
      <c r="A382" s="15">
        <v>4</v>
      </c>
      <c r="B382" s="11">
        <v>2</v>
      </c>
      <c r="C382" s="11" t="s">
        <v>80</v>
      </c>
      <c r="D382" s="11" t="s">
        <v>29</v>
      </c>
      <c r="E382" s="15" t="s">
        <v>42</v>
      </c>
      <c r="F382" s="15" t="s">
        <v>64</v>
      </c>
    </row>
    <row r="383" spans="1:6" x14ac:dyDescent="0.3">
      <c r="A383" s="27">
        <v>4</v>
      </c>
      <c r="B383" s="11">
        <v>1</v>
      </c>
      <c r="C383" s="11" t="s">
        <v>81</v>
      </c>
      <c r="D383" s="11" t="s">
        <v>29</v>
      </c>
      <c r="E383" s="27" t="s">
        <v>42</v>
      </c>
      <c r="F383" s="27" t="s">
        <v>65</v>
      </c>
    </row>
    <row r="384" spans="1:6" x14ac:dyDescent="0.3">
      <c r="A384" s="15">
        <v>4</v>
      </c>
      <c r="B384" s="12">
        <v>2</v>
      </c>
      <c r="C384" s="12" t="s">
        <v>80</v>
      </c>
      <c r="D384" s="15" t="s">
        <v>0</v>
      </c>
      <c r="E384" s="15" t="s">
        <v>41</v>
      </c>
      <c r="F384" s="15" t="s">
        <v>68</v>
      </c>
    </row>
    <row r="385" spans="1:6" x14ac:dyDescent="0.3">
      <c r="A385" s="27">
        <v>4</v>
      </c>
      <c r="B385" s="28">
        <v>1</v>
      </c>
      <c r="C385" s="28" t="s">
        <v>81</v>
      </c>
      <c r="D385" s="27" t="s">
        <v>40</v>
      </c>
      <c r="E385" s="27" t="s">
        <v>10</v>
      </c>
      <c r="F385" s="27" t="s">
        <v>68</v>
      </c>
    </row>
    <row r="386" spans="1:6" x14ac:dyDescent="0.3">
      <c r="A386" s="15">
        <v>4</v>
      </c>
      <c r="B386" s="11">
        <v>1</v>
      </c>
      <c r="C386" s="11" t="s">
        <v>80</v>
      </c>
      <c r="D386" s="11" t="s">
        <v>29</v>
      </c>
      <c r="E386" s="15" t="s">
        <v>42</v>
      </c>
      <c r="F386" s="15" t="s">
        <v>66</v>
      </c>
    </row>
    <row r="387" spans="1:6" x14ac:dyDescent="0.3">
      <c r="A387" s="27">
        <v>4</v>
      </c>
      <c r="B387" s="28">
        <v>1</v>
      </c>
      <c r="C387" s="28" t="s">
        <v>81</v>
      </c>
      <c r="D387" s="27" t="s">
        <v>0</v>
      </c>
      <c r="E387" s="27" t="s">
        <v>41</v>
      </c>
      <c r="F387" s="27" t="s">
        <v>67</v>
      </c>
    </row>
    <row r="388" spans="1:6" x14ac:dyDescent="0.3">
      <c r="A388" s="15">
        <v>4</v>
      </c>
      <c r="B388" s="12">
        <v>1</v>
      </c>
      <c r="C388" s="12" t="s">
        <v>81</v>
      </c>
      <c r="D388" s="15" t="s">
        <v>40</v>
      </c>
      <c r="E388" s="15" t="s">
        <v>9</v>
      </c>
      <c r="F388" s="15" t="s">
        <v>67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FB380-2395-4939-AA54-5623083A0B37}">
  <dimension ref="A1:N394"/>
  <sheetViews>
    <sheetView topLeftCell="E1" workbookViewId="0">
      <selection activeCell="M385" sqref="M385"/>
    </sheetView>
  </sheetViews>
  <sheetFormatPr defaultRowHeight="14.4" x14ac:dyDescent="0.3"/>
  <cols>
    <col min="1" max="1" width="12.33203125" customWidth="1"/>
    <col min="2" max="2" width="11.21875" style="5" bestFit="1" customWidth="1"/>
    <col min="3" max="3" width="10.6640625" style="5" bestFit="1" customWidth="1"/>
    <col min="4" max="4" width="12" style="5" customWidth="1"/>
    <col min="5" max="5" width="11.5546875" bestFit="1" customWidth="1"/>
    <col min="6" max="6" width="10.21875" bestFit="1" customWidth="1"/>
  </cols>
  <sheetData>
    <row r="1" spans="1:7" x14ac:dyDescent="0.3">
      <c r="A1" s="21" t="s">
        <v>83</v>
      </c>
      <c r="B1" s="35" t="s">
        <v>75</v>
      </c>
      <c r="C1" s="35" t="s">
        <v>76</v>
      </c>
      <c r="D1" s="35" t="s">
        <v>77</v>
      </c>
      <c r="E1" s="21" t="s">
        <v>78</v>
      </c>
      <c r="F1" s="21" t="s">
        <v>79</v>
      </c>
      <c r="G1" s="49" t="s">
        <v>128</v>
      </c>
    </row>
    <row r="2" spans="1:7" x14ac:dyDescent="0.3">
      <c r="A2" s="12">
        <v>1</v>
      </c>
      <c r="B2" s="36">
        <v>2</v>
      </c>
      <c r="C2" s="36" t="s">
        <v>80</v>
      </c>
      <c r="D2" s="42" t="s">
        <v>0</v>
      </c>
      <c r="E2" s="15" t="s">
        <v>41</v>
      </c>
      <c r="F2" s="15" t="s">
        <v>43</v>
      </c>
      <c r="G2" s="5"/>
    </row>
    <row r="3" spans="1:7" x14ac:dyDescent="0.3">
      <c r="A3" s="7">
        <v>1</v>
      </c>
      <c r="B3" s="37">
        <v>2</v>
      </c>
      <c r="C3" s="37" t="s">
        <v>80</v>
      </c>
      <c r="D3" s="43" t="s">
        <v>40</v>
      </c>
      <c r="E3" s="4" t="s">
        <v>9</v>
      </c>
      <c r="F3" s="4" t="s">
        <v>43</v>
      </c>
      <c r="G3" s="5"/>
    </row>
    <row r="4" spans="1:7" x14ac:dyDescent="0.3">
      <c r="A4" s="12">
        <v>1</v>
      </c>
      <c r="B4" s="38">
        <v>1</v>
      </c>
      <c r="C4" s="44" t="s">
        <v>81</v>
      </c>
      <c r="D4" s="46" t="s">
        <v>29</v>
      </c>
      <c r="E4" s="15" t="s">
        <v>42</v>
      </c>
      <c r="F4" s="15" t="s">
        <v>74</v>
      </c>
      <c r="G4" s="5"/>
    </row>
    <row r="5" spans="1:7" x14ac:dyDescent="0.3">
      <c r="A5" s="7">
        <v>1</v>
      </c>
      <c r="B5" s="37">
        <v>2</v>
      </c>
      <c r="C5" s="37" t="s">
        <v>80</v>
      </c>
      <c r="D5" s="43" t="s">
        <v>0</v>
      </c>
      <c r="E5" s="4" t="s">
        <v>41</v>
      </c>
      <c r="F5" s="4" t="s">
        <v>44</v>
      </c>
      <c r="G5" s="5"/>
    </row>
    <row r="6" spans="1:7" x14ac:dyDescent="0.3">
      <c r="A6" s="12">
        <v>1</v>
      </c>
      <c r="B6" s="36">
        <v>2</v>
      </c>
      <c r="C6" s="36" t="s">
        <v>80</v>
      </c>
      <c r="D6" s="42" t="s">
        <v>40</v>
      </c>
      <c r="E6" s="15" t="s">
        <v>9</v>
      </c>
      <c r="F6" s="15" t="s">
        <v>44</v>
      </c>
      <c r="G6" s="5"/>
    </row>
    <row r="7" spans="1:7" x14ac:dyDescent="0.3">
      <c r="A7" s="7">
        <v>1</v>
      </c>
      <c r="B7" s="38">
        <v>1</v>
      </c>
      <c r="C7" s="38" t="s">
        <v>81</v>
      </c>
      <c r="D7" s="46" t="s">
        <v>29</v>
      </c>
      <c r="E7" s="4" t="s">
        <v>42</v>
      </c>
      <c r="F7" s="4" t="s">
        <v>73</v>
      </c>
      <c r="G7" s="5"/>
    </row>
    <row r="8" spans="1:7" x14ac:dyDescent="0.3">
      <c r="A8" s="12">
        <v>1</v>
      </c>
      <c r="B8" s="36">
        <v>2</v>
      </c>
      <c r="C8" s="36" t="s">
        <v>80</v>
      </c>
      <c r="D8" s="42" t="s">
        <v>0</v>
      </c>
      <c r="E8" s="15" t="s">
        <v>41</v>
      </c>
      <c r="F8" s="15" t="s">
        <v>45</v>
      </c>
      <c r="G8" s="5"/>
    </row>
    <row r="9" spans="1:7" x14ac:dyDescent="0.3">
      <c r="A9" s="7">
        <v>1</v>
      </c>
      <c r="B9" s="37">
        <v>1</v>
      </c>
      <c r="C9" s="37" t="s">
        <v>81</v>
      </c>
      <c r="D9" s="43" t="s">
        <v>40</v>
      </c>
      <c r="E9" s="4" t="s">
        <v>10</v>
      </c>
      <c r="F9" s="4" t="s">
        <v>45</v>
      </c>
      <c r="G9" s="5"/>
    </row>
    <row r="10" spans="1:7" x14ac:dyDescent="0.3">
      <c r="A10" s="12">
        <v>1</v>
      </c>
      <c r="B10" s="36">
        <v>1</v>
      </c>
      <c r="C10" s="36" t="s">
        <v>81</v>
      </c>
      <c r="D10" s="42" t="s">
        <v>0</v>
      </c>
      <c r="E10" s="15" t="s">
        <v>41</v>
      </c>
      <c r="F10" s="15" t="s">
        <v>46</v>
      </c>
      <c r="G10" s="5"/>
    </row>
    <row r="11" spans="1:7" x14ac:dyDescent="0.3">
      <c r="A11" s="7">
        <v>1</v>
      </c>
      <c r="B11" s="37">
        <v>2</v>
      </c>
      <c r="C11" s="37" t="s">
        <v>80</v>
      </c>
      <c r="D11" s="43" t="s">
        <v>40</v>
      </c>
      <c r="E11" s="4" t="s">
        <v>10</v>
      </c>
      <c r="F11" s="4" t="s">
        <v>46</v>
      </c>
      <c r="G11" s="5"/>
    </row>
    <row r="12" spans="1:7" x14ac:dyDescent="0.3">
      <c r="A12" s="12">
        <v>1</v>
      </c>
      <c r="B12" s="38">
        <v>2</v>
      </c>
      <c r="C12" s="44" t="s">
        <v>80</v>
      </c>
      <c r="D12" s="46" t="s">
        <v>29</v>
      </c>
      <c r="E12" s="15" t="s">
        <v>42</v>
      </c>
      <c r="F12" s="15" t="s">
        <v>72</v>
      </c>
      <c r="G12" s="5"/>
    </row>
    <row r="13" spans="1:7" x14ac:dyDescent="0.3">
      <c r="A13" s="7">
        <v>1</v>
      </c>
      <c r="B13" s="37">
        <v>2</v>
      </c>
      <c r="C13" s="37" t="s">
        <v>80</v>
      </c>
      <c r="D13" s="43" t="s">
        <v>0</v>
      </c>
      <c r="E13" s="4" t="s">
        <v>41</v>
      </c>
      <c r="F13" s="4" t="s">
        <v>47</v>
      </c>
      <c r="G13" s="5"/>
    </row>
    <row r="14" spans="1:7" x14ac:dyDescent="0.3">
      <c r="A14" s="12">
        <v>1</v>
      </c>
      <c r="B14" s="36">
        <v>1</v>
      </c>
      <c r="C14" s="36" t="s">
        <v>81</v>
      </c>
      <c r="D14" s="42" t="s">
        <v>40</v>
      </c>
      <c r="E14" s="15" t="s">
        <v>10</v>
      </c>
      <c r="F14" s="15" t="s">
        <v>47</v>
      </c>
      <c r="G14" s="5"/>
    </row>
    <row r="15" spans="1:7" x14ac:dyDescent="0.3">
      <c r="A15" s="7">
        <v>1</v>
      </c>
      <c r="B15" s="38">
        <v>2</v>
      </c>
      <c r="C15" s="38" t="s">
        <v>80</v>
      </c>
      <c r="D15" s="46" t="s">
        <v>29</v>
      </c>
      <c r="E15" s="4" t="s">
        <v>42</v>
      </c>
      <c r="F15" s="4" t="s">
        <v>71</v>
      </c>
      <c r="G15" s="5"/>
    </row>
    <row r="16" spans="1:7" x14ac:dyDescent="0.3">
      <c r="A16" s="12">
        <v>1</v>
      </c>
      <c r="B16" s="36">
        <v>1</v>
      </c>
      <c r="C16" s="36" t="s">
        <v>81</v>
      </c>
      <c r="D16" s="42" t="s">
        <v>0</v>
      </c>
      <c r="E16" s="15" t="s">
        <v>41</v>
      </c>
      <c r="F16" s="15" t="s">
        <v>48</v>
      </c>
      <c r="G16" s="5"/>
    </row>
    <row r="17" spans="1:9" x14ac:dyDescent="0.3">
      <c r="A17" s="7">
        <v>1</v>
      </c>
      <c r="B17" s="37">
        <v>1</v>
      </c>
      <c r="C17" s="37" t="s">
        <v>81</v>
      </c>
      <c r="D17" s="43" t="s">
        <v>40</v>
      </c>
      <c r="E17" s="4" t="s">
        <v>9</v>
      </c>
      <c r="F17" s="4" t="s">
        <v>48</v>
      </c>
      <c r="G17" s="5"/>
    </row>
    <row r="18" spans="1:9" x14ac:dyDescent="0.3">
      <c r="A18" s="12">
        <v>1</v>
      </c>
      <c r="B18" s="38">
        <v>2</v>
      </c>
      <c r="C18" s="44" t="s">
        <v>80</v>
      </c>
      <c r="D18" s="46" t="s">
        <v>29</v>
      </c>
      <c r="E18" s="15" t="s">
        <v>42</v>
      </c>
      <c r="F18" s="15" t="s">
        <v>70</v>
      </c>
      <c r="G18" s="5"/>
    </row>
    <row r="19" spans="1:9" x14ac:dyDescent="0.3">
      <c r="A19" s="47">
        <v>1</v>
      </c>
      <c r="B19" s="38">
        <v>1</v>
      </c>
      <c r="C19" s="44" t="s">
        <v>81</v>
      </c>
      <c r="D19" s="46" t="s">
        <v>29</v>
      </c>
      <c r="E19" s="48" t="s">
        <v>42</v>
      </c>
      <c r="F19" s="15" t="s">
        <v>68</v>
      </c>
      <c r="G19" s="6"/>
    </row>
    <row r="20" spans="1:9" x14ac:dyDescent="0.3">
      <c r="A20" s="7">
        <v>1</v>
      </c>
      <c r="B20" s="37">
        <v>1</v>
      </c>
      <c r="C20" s="37" t="s">
        <v>81</v>
      </c>
      <c r="D20" s="43" t="s">
        <v>0</v>
      </c>
      <c r="E20" s="4" t="s">
        <v>41</v>
      </c>
      <c r="F20" s="4" t="s">
        <v>49</v>
      </c>
      <c r="G20" s="5"/>
    </row>
    <row r="21" spans="1:9" x14ac:dyDescent="0.3">
      <c r="A21" s="12">
        <v>1</v>
      </c>
      <c r="B21" s="36">
        <v>1</v>
      </c>
      <c r="C21" s="36" t="s">
        <v>81</v>
      </c>
      <c r="D21" s="42" t="s">
        <v>40</v>
      </c>
      <c r="E21" s="15" t="s">
        <v>9</v>
      </c>
      <c r="F21" s="15" t="s">
        <v>49</v>
      </c>
      <c r="G21" s="5"/>
    </row>
    <row r="22" spans="1:9" x14ac:dyDescent="0.3">
      <c r="A22" s="7">
        <v>1</v>
      </c>
      <c r="B22" s="38">
        <v>2</v>
      </c>
      <c r="C22" s="38" t="s">
        <v>80</v>
      </c>
      <c r="D22" s="46" t="s">
        <v>29</v>
      </c>
      <c r="E22" s="4" t="s">
        <v>42</v>
      </c>
      <c r="F22" s="4" t="s">
        <v>69</v>
      </c>
      <c r="G22" s="5"/>
    </row>
    <row r="23" spans="1:9" x14ac:dyDescent="0.3">
      <c r="A23" s="15">
        <v>1</v>
      </c>
      <c r="B23" s="38">
        <v>1</v>
      </c>
      <c r="C23" s="38" t="s">
        <v>81</v>
      </c>
      <c r="D23" s="46" t="s">
        <v>29</v>
      </c>
      <c r="E23" s="15" t="s">
        <v>42</v>
      </c>
      <c r="F23" s="4" t="s">
        <v>67</v>
      </c>
      <c r="G23" s="6"/>
    </row>
    <row r="24" spans="1:9" x14ac:dyDescent="0.3">
      <c r="A24" s="12">
        <v>1</v>
      </c>
      <c r="B24" s="36">
        <v>1</v>
      </c>
      <c r="C24" s="36" t="s">
        <v>81</v>
      </c>
      <c r="D24" s="42" t="s">
        <v>0</v>
      </c>
      <c r="E24" s="15" t="s">
        <v>41</v>
      </c>
      <c r="F24" s="15" t="s">
        <v>50</v>
      </c>
      <c r="G24" s="5"/>
    </row>
    <row r="25" spans="1:9" x14ac:dyDescent="0.3">
      <c r="A25" s="7">
        <v>1</v>
      </c>
      <c r="B25" s="37">
        <v>2</v>
      </c>
      <c r="C25" s="37" t="s">
        <v>80</v>
      </c>
      <c r="D25" s="43" t="s">
        <v>40</v>
      </c>
      <c r="E25" s="4" t="s">
        <v>10</v>
      </c>
      <c r="F25" s="4" t="s">
        <v>50</v>
      </c>
      <c r="G25" s="5"/>
    </row>
    <row r="26" spans="1:9" x14ac:dyDescent="0.3">
      <c r="A26" s="4">
        <v>2</v>
      </c>
      <c r="B26" s="39">
        <v>2</v>
      </c>
      <c r="C26" s="39" t="s">
        <v>80</v>
      </c>
      <c r="D26" s="39" t="s">
        <v>29</v>
      </c>
      <c r="E26" s="4" t="s">
        <v>42</v>
      </c>
      <c r="F26" s="4" t="s">
        <v>43</v>
      </c>
      <c r="G26" s="5"/>
      <c r="I26" t="s">
        <v>19</v>
      </c>
    </row>
    <row r="27" spans="1:9" x14ac:dyDescent="0.3">
      <c r="A27" s="15">
        <v>2</v>
      </c>
      <c r="B27" s="36">
        <v>1</v>
      </c>
      <c r="C27" s="36" t="s">
        <v>81</v>
      </c>
      <c r="D27" s="42" t="s">
        <v>0</v>
      </c>
      <c r="E27" s="15" t="s">
        <v>41</v>
      </c>
      <c r="F27" s="15" t="s">
        <v>58</v>
      </c>
      <c r="G27" s="5"/>
    </row>
    <row r="28" spans="1:9" x14ac:dyDescent="0.3">
      <c r="A28" s="4">
        <v>2</v>
      </c>
      <c r="B28" s="37">
        <v>1</v>
      </c>
      <c r="C28" s="37" t="s">
        <v>81</v>
      </c>
      <c r="D28" s="43" t="s">
        <v>40</v>
      </c>
      <c r="E28" s="4" t="s">
        <v>9</v>
      </c>
      <c r="F28" s="4" t="s">
        <v>58</v>
      </c>
      <c r="G28" s="5"/>
    </row>
    <row r="29" spans="1:9" x14ac:dyDescent="0.3">
      <c r="A29" s="15">
        <v>2</v>
      </c>
      <c r="B29" s="39">
        <v>2</v>
      </c>
      <c r="C29" s="39" t="s">
        <v>80</v>
      </c>
      <c r="D29" s="39" t="s">
        <v>29</v>
      </c>
      <c r="E29" s="15" t="s">
        <v>42</v>
      </c>
      <c r="F29" s="15" t="s">
        <v>44</v>
      </c>
      <c r="G29" s="5"/>
    </row>
    <row r="30" spans="1:9" x14ac:dyDescent="0.3">
      <c r="A30" s="15">
        <v>2</v>
      </c>
      <c r="B30" s="36">
        <v>1</v>
      </c>
      <c r="C30" s="37" t="s">
        <v>81</v>
      </c>
      <c r="D30" s="42" t="s">
        <v>0</v>
      </c>
      <c r="E30" s="15" t="s">
        <v>41</v>
      </c>
      <c r="F30" s="15" t="s">
        <v>57</v>
      </c>
      <c r="G30" s="5"/>
    </row>
    <row r="31" spans="1:9" x14ac:dyDescent="0.3">
      <c r="A31" s="4">
        <v>2</v>
      </c>
      <c r="B31" s="37">
        <v>1</v>
      </c>
      <c r="C31" s="37" t="s">
        <v>81</v>
      </c>
      <c r="D31" s="43" t="s">
        <v>40</v>
      </c>
      <c r="E31" s="4" t="s">
        <v>9</v>
      </c>
      <c r="F31" s="4" t="s">
        <v>57</v>
      </c>
      <c r="G31" s="5"/>
    </row>
    <row r="32" spans="1:9" x14ac:dyDescent="0.3">
      <c r="A32" s="15">
        <v>2</v>
      </c>
      <c r="B32" s="36">
        <v>1</v>
      </c>
      <c r="C32" s="37" t="s">
        <v>81</v>
      </c>
      <c r="D32" s="42" t="s">
        <v>0</v>
      </c>
      <c r="E32" s="15" t="s">
        <v>41</v>
      </c>
      <c r="F32" s="15" t="s">
        <v>56</v>
      </c>
      <c r="G32" s="5"/>
    </row>
    <row r="33" spans="1:7" x14ac:dyDescent="0.3">
      <c r="A33" s="4">
        <v>2</v>
      </c>
      <c r="B33" s="37">
        <v>2</v>
      </c>
      <c r="C33" s="37" t="s">
        <v>80</v>
      </c>
      <c r="D33" s="43" t="s">
        <v>40</v>
      </c>
      <c r="E33" s="4" t="s">
        <v>10</v>
      </c>
      <c r="F33" s="4" t="s">
        <v>56</v>
      </c>
      <c r="G33" s="5"/>
    </row>
    <row r="34" spans="1:7" x14ac:dyDescent="0.3">
      <c r="A34" s="15">
        <v>2</v>
      </c>
      <c r="B34" s="36">
        <v>2</v>
      </c>
      <c r="C34" s="37" t="s">
        <v>80</v>
      </c>
      <c r="D34" s="42" t="s">
        <v>0</v>
      </c>
      <c r="E34" s="15" t="s">
        <v>41</v>
      </c>
      <c r="F34" s="15" t="s">
        <v>55</v>
      </c>
      <c r="G34" s="5"/>
    </row>
    <row r="35" spans="1:7" x14ac:dyDescent="0.3">
      <c r="A35" s="4">
        <v>2</v>
      </c>
      <c r="B35" s="37">
        <v>1</v>
      </c>
      <c r="C35" s="37" t="s">
        <v>81</v>
      </c>
      <c r="D35" s="43" t="s">
        <v>40</v>
      </c>
      <c r="E35" s="4" t="s">
        <v>10</v>
      </c>
      <c r="F35" s="4" t="s">
        <v>55</v>
      </c>
      <c r="G35" s="5"/>
    </row>
    <row r="36" spans="1:7" x14ac:dyDescent="0.3">
      <c r="A36" s="4">
        <v>2</v>
      </c>
      <c r="B36" s="39">
        <v>1</v>
      </c>
      <c r="C36" s="39" t="s">
        <v>81</v>
      </c>
      <c r="D36" s="39" t="s">
        <v>29</v>
      </c>
      <c r="E36" s="4" t="s">
        <v>42</v>
      </c>
      <c r="F36" s="4" t="s">
        <v>45</v>
      </c>
      <c r="G36" s="5"/>
    </row>
    <row r="37" spans="1:7" x14ac:dyDescent="0.3">
      <c r="A37" s="15">
        <v>2</v>
      </c>
      <c r="B37" s="36">
        <v>1</v>
      </c>
      <c r="C37" s="37" t="s">
        <v>81</v>
      </c>
      <c r="D37" s="42" t="s">
        <v>0</v>
      </c>
      <c r="E37" s="15" t="s">
        <v>41</v>
      </c>
      <c r="F37" s="15" t="s">
        <v>54</v>
      </c>
      <c r="G37" s="5"/>
    </row>
    <row r="38" spans="1:7" x14ac:dyDescent="0.3">
      <c r="A38" s="4">
        <v>2</v>
      </c>
      <c r="B38" s="37">
        <v>2</v>
      </c>
      <c r="C38" s="37" t="s">
        <v>80</v>
      </c>
      <c r="D38" s="43" t="s">
        <v>40</v>
      </c>
      <c r="E38" s="4" t="s">
        <v>10</v>
      </c>
      <c r="F38" s="4" t="s">
        <v>54</v>
      </c>
      <c r="G38" s="5"/>
    </row>
    <row r="39" spans="1:7" x14ac:dyDescent="0.3">
      <c r="A39" s="15">
        <v>2</v>
      </c>
      <c r="B39" s="39">
        <v>1</v>
      </c>
      <c r="C39" s="39" t="s">
        <v>81</v>
      </c>
      <c r="D39" s="39" t="s">
        <v>29</v>
      </c>
      <c r="E39" s="15" t="s">
        <v>42</v>
      </c>
      <c r="F39" s="15" t="s">
        <v>46</v>
      </c>
      <c r="G39" s="5"/>
    </row>
    <row r="40" spans="1:7" x14ac:dyDescent="0.3">
      <c r="A40" s="4">
        <v>2</v>
      </c>
      <c r="B40" s="39">
        <v>2</v>
      </c>
      <c r="C40" s="39" t="s">
        <v>80</v>
      </c>
      <c r="D40" s="39" t="s">
        <v>29</v>
      </c>
      <c r="E40" s="4" t="s">
        <v>42</v>
      </c>
      <c r="F40" s="4" t="s">
        <v>47</v>
      </c>
      <c r="G40" s="5"/>
    </row>
    <row r="41" spans="1:7" x14ac:dyDescent="0.3">
      <c r="A41" s="15">
        <v>2</v>
      </c>
      <c r="B41" s="36">
        <v>2</v>
      </c>
      <c r="C41" s="36" t="s">
        <v>80</v>
      </c>
      <c r="D41" s="42" t="s">
        <v>0</v>
      </c>
      <c r="E41" s="15" t="s">
        <v>41</v>
      </c>
      <c r="F41" s="15" t="s">
        <v>53</v>
      </c>
      <c r="G41" s="5"/>
    </row>
    <row r="42" spans="1:7" x14ac:dyDescent="0.3">
      <c r="A42" s="4">
        <v>2</v>
      </c>
      <c r="B42" s="37">
        <v>2</v>
      </c>
      <c r="C42" s="37" t="s">
        <v>80</v>
      </c>
      <c r="D42" s="43" t="s">
        <v>40</v>
      </c>
      <c r="E42" s="4" t="s">
        <v>9</v>
      </c>
      <c r="F42" s="4" t="s">
        <v>53</v>
      </c>
      <c r="G42" s="5"/>
    </row>
    <row r="43" spans="1:7" x14ac:dyDescent="0.3">
      <c r="A43" s="15">
        <v>2</v>
      </c>
      <c r="B43" s="39">
        <v>1</v>
      </c>
      <c r="C43" s="39" t="s">
        <v>81</v>
      </c>
      <c r="D43" s="39" t="s">
        <v>29</v>
      </c>
      <c r="E43" s="15" t="s">
        <v>42</v>
      </c>
      <c r="F43" s="15" t="s">
        <v>48</v>
      </c>
      <c r="G43" s="5"/>
    </row>
    <row r="44" spans="1:7" x14ac:dyDescent="0.3">
      <c r="A44" s="4">
        <v>2</v>
      </c>
      <c r="B44" s="37">
        <v>2</v>
      </c>
      <c r="C44" s="37" t="s">
        <v>80</v>
      </c>
      <c r="D44" s="43" t="s">
        <v>0</v>
      </c>
      <c r="E44" s="4" t="s">
        <v>41</v>
      </c>
      <c r="F44" s="4" t="s">
        <v>52</v>
      </c>
      <c r="G44" s="5"/>
    </row>
    <row r="45" spans="1:7" x14ac:dyDescent="0.3">
      <c r="A45" s="15">
        <v>2</v>
      </c>
      <c r="B45" s="36">
        <v>2</v>
      </c>
      <c r="C45" s="36" t="s">
        <v>80</v>
      </c>
      <c r="D45" s="42" t="s">
        <v>40</v>
      </c>
      <c r="E45" s="15" t="s">
        <v>9</v>
      </c>
      <c r="F45" s="15" t="s">
        <v>52</v>
      </c>
      <c r="G45" s="5"/>
    </row>
    <row r="46" spans="1:7" x14ac:dyDescent="0.3">
      <c r="A46" s="4">
        <v>2</v>
      </c>
      <c r="B46" s="39">
        <v>1</v>
      </c>
      <c r="C46" s="39" t="s">
        <v>81</v>
      </c>
      <c r="D46" s="39" t="s">
        <v>29</v>
      </c>
      <c r="E46" s="4" t="s">
        <v>42</v>
      </c>
      <c r="F46" s="4" t="s">
        <v>49</v>
      </c>
      <c r="G46" s="5"/>
    </row>
    <row r="47" spans="1:7" x14ac:dyDescent="0.3">
      <c r="A47" s="15">
        <v>2</v>
      </c>
      <c r="B47" s="39">
        <v>2</v>
      </c>
      <c r="C47" s="39" t="s">
        <v>80</v>
      </c>
      <c r="D47" s="39" t="s">
        <v>29</v>
      </c>
      <c r="E47" s="15" t="s">
        <v>42</v>
      </c>
      <c r="F47" s="15" t="s">
        <v>50</v>
      </c>
      <c r="G47" s="5"/>
    </row>
    <row r="48" spans="1:7" x14ac:dyDescent="0.3">
      <c r="A48" s="4">
        <v>2</v>
      </c>
      <c r="B48" s="37">
        <v>2</v>
      </c>
      <c r="C48" s="37" t="s">
        <v>80</v>
      </c>
      <c r="D48" s="43" t="s">
        <v>0</v>
      </c>
      <c r="E48" s="4" t="s">
        <v>41</v>
      </c>
      <c r="F48" s="4" t="s">
        <v>51</v>
      </c>
      <c r="G48" s="5"/>
    </row>
    <row r="49" spans="1:9" x14ac:dyDescent="0.3">
      <c r="A49" s="15">
        <v>2</v>
      </c>
      <c r="B49" s="36">
        <v>1</v>
      </c>
      <c r="C49" s="36" t="s">
        <v>81</v>
      </c>
      <c r="D49" s="42" t="s">
        <v>40</v>
      </c>
      <c r="E49" s="15" t="s">
        <v>10</v>
      </c>
      <c r="F49" s="15" t="s">
        <v>51</v>
      </c>
      <c r="G49" s="5"/>
    </row>
    <row r="50" spans="1:9" x14ac:dyDescent="0.3">
      <c r="A50" s="15">
        <v>3</v>
      </c>
      <c r="B50" s="36">
        <v>2</v>
      </c>
      <c r="C50" s="36" t="s">
        <v>80</v>
      </c>
      <c r="D50" s="42" t="s">
        <v>29</v>
      </c>
      <c r="E50" s="15" t="s">
        <v>42</v>
      </c>
      <c r="F50" s="15"/>
      <c r="G50" s="50" t="s">
        <v>127</v>
      </c>
    </row>
    <row r="51" spans="1:9" x14ac:dyDescent="0.3">
      <c r="A51" s="12">
        <v>3</v>
      </c>
      <c r="B51" s="36">
        <v>1</v>
      </c>
      <c r="C51" s="36" t="s">
        <v>81</v>
      </c>
      <c r="D51" s="42" t="s">
        <v>0</v>
      </c>
      <c r="E51" s="15" t="s">
        <v>41</v>
      </c>
      <c r="F51" s="15" t="s">
        <v>59</v>
      </c>
      <c r="G51" s="5"/>
    </row>
    <row r="52" spans="1:9" x14ac:dyDescent="0.3">
      <c r="A52" s="7">
        <v>3</v>
      </c>
      <c r="B52" s="37">
        <v>2</v>
      </c>
      <c r="C52" s="37" t="s">
        <v>80</v>
      </c>
      <c r="D52" s="43" t="s">
        <v>40</v>
      </c>
      <c r="E52" s="4" t="s">
        <v>10</v>
      </c>
      <c r="F52" s="4" t="s">
        <v>59</v>
      </c>
      <c r="G52" s="5"/>
    </row>
    <row r="53" spans="1:9" x14ac:dyDescent="0.3">
      <c r="A53" s="15">
        <v>3</v>
      </c>
      <c r="B53" s="36">
        <v>2</v>
      </c>
      <c r="C53" s="36" t="s">
        <v>80</v>
      </c>
      <c r="D53" s="42" t="s">
        <v>29</v>
      </c>
      <c r="E53" s="15" t="s">
        <v>42</v>
      </c>
      <c r="F53" s="15"/>
      <c r="G53" s="50" t="s">
        <v>127</v>
      </c>
    </row>
    <row r="54" spans="1:9" x14ac:dyDescent="0.3">
      <c r="A54" s="12">
        <v>3</v>
      </c>
      <c r="B54" s="36">
        <v>2</v>
      </c>
      <c r="C54" s="36" t="s">
        <v>80</v>
      </c>
      <c r="D54" s="42" t="s">
        <v>0</v>
      </c>
      <c r="E54" s="15" t="s">
        <v>41</v>
      </c>
      <c r="F54" s="15" t="s">
        <v>60</v>
      </c>
      <c r="G54" s="5"/>
    </row>
    <row r="55" spans="1:9" x14ac:dyDescent="0.3">
      <c r="A55" s="7">
        <v>3</v>
      </c>
      <c r="B55" s="37">
        <v>1</v>
      </c>
      <c r="C55" s="37" t="s">
        <v>81</v>
      </c>
      <c r="D55" s="43" t="s">
        <v>40</v>
      </c>
      <c r="E55" s="4" t="s">
        <v>10</v>
      </c>
      <c r="F55" s="4" t="s">
        <v>60</v>
      </c>
      <c r="G55" s="5"/>
    </row>
    <row r="56" spans="1:9" x14ac:dyDescent="0.3">
      <c r="A56" s="12">
        <v>3</v>
      </c>
      <c r="B56" s="40">
        <v>1</v>
      </c>
      <c r="C56" s="40" t="s">
        <v>81</v>
      </c>
      <c r="D56" s="40" t="s">
        <v>29</v>
      </c>
      <c r="E56" s="15" t="s">
        <v>42</v>
      </c>
      <c r="F56" s="15" t="s">
        <v>58</v>
      </c>
      <c r="G56" s="5"/>
    </row>
    <row r="57" spans="1:9" x14ac:dyDescent="0.3">
      <c r="A57" s="7">
        <v>3</v>
      </c>
      <c r="B57" s="37">
        <v>1</v>
      </c>
      <c r="C57" s="37" t="s">
        <v>81</v>
      </c>
      <c r="D57" s="43" t="s">
        <v>0</v>
      </c>
      <c r="E57" s="4" t="s">
        <v>41</v>
      </c>
      <c r="F57" s="4" t="s">
        <v>61</v>
      </c>
      <c r="G57" s="5"/>
      <c r="I57" t="s">
        <v>19</v>
      </c>
    </row>
    <row r="58" spans="1:9" x14ac:dyDescent="0.3">
      <c r="A58" s="12">
        <v>3</v>
      </c>
      <c r="B58" s="36">
        <v>2</v>
      </c>
      <c r="C58" s="36" t="s">
        <v>80</v>
      </c>
      <c r="D58" s="42" t="s">
        <v>40</v>
      </c>
      <c r="E58" s="15" t="s">
        <v>10</v>
      </c>
      <c r="F58" s="15" t="s">
        <v>61</v>
      </c>
      <c r="G58" s="5"/>
    </row>
    <row r="59" spans="1:9" x14ac:dyDescent="0.3">
      <c r="A59" s="7">
        <v>3</v>
      </c>
      <c r="B59" s="40">
        <v>1</v>
      </c>
      <c r="C59" s="40" t="s">
        <v>81</v>
      </c>
      <c r="D59" s="40" t="s">
        <v>29</v>
      </c>
      <c r="E59" s="4" t="s">
        <v>42</v>
      </c>
      <c r="F59" s="4" t="s">
        <v>57</v>
      </c>
      <c r="G59" s="5"/>
    </row>
    <row r="60" spans="1:9" x14ac:dyDescent="0.3">
      <c r="A60" s="12">
        <v>3</v>
      </c>
      <c r="B60" s="36">
        <v>2</v>
      </c>
      <c r="C60" s="36" t="s">
        <v>80</v>
      </c>
      <c r="D60" s="42" t="s">
        <v>0</v>
      </c>
      <c r="E60" s="15" t="s">
        <v>41</v>
      </c>
      <c r="F60" s="15" t="s">
        <v>62</v>
      </c>
      <c r="G60" s="5"/>
    </row>
    <row r="61" spans="1:9" x14ac:dyDescent="0.3">
      <c r="A61" s="7">
        <v>3</v>
      </c>
      <c r="B61" s="37">
        <v>2</v>
      </c>
      <c r="C61" s="37" t="s">
        <v>80</v>
      </c>
      <c r="D61" s="43" t="s">
        <v>40</v>
      </c>
      <c r="E61" s="4" t="s">
        <v>9</v>
      </c>
      <c r="F61" s="4" t="s">
        <v>62</v>
      </c>
      <c r="G61" s="5"/>
    </row>
    <row r="62" spans="1:9" x14ac:dyDescent="0.3">
      <c r="A62" s="12">
        <v>3</v>
      </c>
      <c r="B62" s="40">
        <v>2</v>
      </c>
      <c r="C62" s="40" t="s">
        <v>80</v>
      </c>
      <c r="D62" s="40" t="s">
        <v>29</v>
      </c>
      <c r="E62" s="15" t="s">
        <v>42</v>
      </c>
      <c r="F62" s="15" t="s">
        <v>56</v>
      </c>
      <c r="G62" s="5"/>
    </row>
    <row r="63" spans="1:9" x14ac:dyDescent="0.3">
      <c r="A63" s="7">
        <v>3</v>
      </c>
      <c r="B63" s="40">
        <v>1</v>
      </c>
      <c r="C63" s="40" t="s">
        <v>81</v>
      </c>
      <c r="D63" s="40" t="s">
        <v>29</v>
      </c>
      <c r="E63" s="4" t="s">
        <v>42</v>
      </c>
      <c r="F63" s="4" t="s">
        <v>55</v>
      </c>
      <c r="G63" s="5"/>
    </row>
    <row r="64" spans="1:9" x14ac:dyDescent="0.3">
      <c r="A64" s="12">
        <v>3</v>
      </c>
      <c r="B64" s="40">
        <v>2</v>
      </c>
      <c r="C64" s="40" t="s">
        <v>80</v>
      </c>
      <c r="D64" s="40" t="s">
        <v>29</v>
      </c>
      <c r="E64" s="15" t="s">
        <v>42</v>
      </c>
      <c r="F64" s="15" t="s">
        <v>54</v>
      </c>
      <c r="G64" s="5"/>
    </row>
    <row r="65" spans="1:7" x14ac:dyDescent="0.3">
      <c r="A65" s="7">
        <v>3</v>
      </c>
      <c r="B65" s="37">
        <v>2</v>
      </c>
      <c r="C65" s="37" t="s">
        <v>80</v>
      </c>
      <c r="D65" s="43" t="s">
        <v>0</v>
      </c>
      <c r="E65" s="4" t="s">
        <v>41</v>
      </c>
      <c r="F65" s="4" t="s">
        <v>63</v>
      </c>
      <c r="G65" s="5"/>
    </row>
    <row r="66" spans="1:7" x14ac:dyDescent="0.3">
      <c r="A66" s="12">
        <v>3</v>
      </c>
      <c r="B66" s="36">
        <v>2</v>
      </c>
      <c r="C66" s="36" t="s">
        <v>80</v>
      </c>
      <c r="D66" s="42" t="s">
        <v>40</v>
      </c>
      <c r="E66" s="15" t="s">
        <v>9</v>
      </c>
      <c r="F66" s="15" t="s">
        <v>63</v>
      </c>
      <c r="G66" s="5"/>
    </row>
    <row r="67" spans="1:7" x14ac:dyDescent="0.3">
      <c r="A67" s="15">
        <v>3</v>
      </c>
      <c r="B67" s="36">
        <v>1</v>
      </c>
      <c r="C67" s="36" t="s">
        <v>81</v>
      </c>
      <c r="D67" s="42" t="s">
        <v>29</v>
      </c>
      <c r="E67" s="15" t="s">
        <v>42</v>
      </c>
      <c r="F67" s="15"/>
      <c r="G67" s="50" t="s">
        <v>127</v>
      </c>
    </row>
    <row r="68" spans="1:7" x14ac:dyDescent="0.3">
      <c r="A68" s="7">
        <v>3</v>
      </c>
      <c r="B68" s="37">
        <v>2</v>
      </c>
      <c r="C68" s="37" t="s">
        <v>80</v>
      </c>
      <c r="D68" s="43" t="s">
        <v>0</v>
      </c>
      <c r="E68" s="4" t="s">
        <v>41</v>
      </c>
      <c r="F68" s="4" t="s">
        <v>64</v>
      </c>
      <c r="G68" s="5"/>
    </row>
    <row r="69" spans="1:7" x14ac:dyDescent="0.3">
      <c r="A69" s="12">
        <v>3</v>
      </c>
      <c r="B69" s="36">
        <v>1</v>
      </c>
      <c r="C69" s="36" t="s">
        <v>81</v>
      </c>
      <c r="D69" s="42" t="s">
        <v>40</v>
      </c>
      <c r="E69" s="15" t="s">
        <v>10</v>
      </c>
      <c r="F69" s="15" t="s">
        <v>64</v>
      </c>
      <c r="G69" s="5"/>
    </row>
    <row r="70" spans="1:7" x14ac:dyDescent="0.3">
      <c r="A70" s="7">
        <v>3</v>
      </c>
      <c r="B70" s="40">
        <v>2</v>
      </c>
      <c r="C70" s="40" t="s">
        <v>80</v>
      </c>
      <c r="D70" s="40" t="s">
        <v>29</v>
      </c>
      <c r="E70" s="4" t="s">
        <v>42</v>
      </c>
      <c r="F70" s="4" t="s">
        <v>53</v>
      </c>
      <c r="G70" s="5"/>
    </row>
    <row r="71" spans="1:7" x14ac:dyDescent="0.3">
      <c r="A71" s="12">
        <v>3</v>
      </c>
      <c r="B71" s="36">
        <v>1</v>
      </c>
      <c r="C71" s="36" t="s">
        <v>81</v>
      </c>
      <c r="D71" s="42" t="s">
        <v>0</v>
      </c>
      <c r="E71" s="15" t="s">
        <v>41</v>
      </c>
      <c r="F71" s="15" t="s">
        <v>65</v>
      </c>
      <c r="G71" s="5"/>
    </row>
    <row r="72" spans="1:7" x14ac:dyDescent="0.3">
      <c r="A72" s="7">
        <v>3</v>
      </c>
      <c r="B72" s="37">
        <v>1</v>
      </c>
      <c r="C72" s="37" t="s">
        <v>81</v>
      </c>
      <c r="D72" s="43" t="s">
        <v>40</v>
      </c>
      <c r="E72" s="4" t="s">
        <v>9</v>
      </c>
      <c r="F72" s="4" t="s">
        <v>65</v>
      </c>
      <c r="G72" s="5"/>
    </row>
    <row r="73" spans="1:7" x14ac:dyDescent="0.3">
      <c r="A73" s="12">
        <v>3</v>
      </c>
      <c r="B73" s="40">
        <v>2</v>
      </c>
      <c r="C73" s="40" t="s">
        <v>80</v>
      </c>
      <c r="D73" s="40" t="s">
        <v>29</v>
      </c>
      <c r="E73" s="15" t="s">
        <v>42</v>
      </c>
      <c r="F73" s="15" t="s">
        <v>52</v>
      </c>
      <c r="G73" s="5"/>
    </row>
    <row r="74" spans="1:7" x14ac:dyDescent="0.3">
      <c r="A74" s="7">
        <v>3</v>
      </c>
      <c r="B74" s="40">
        <v>1</v>
      </c>
      <c r="C74" s="40" t="s">
        <v>81</v>
      </c>
      <c r="D74" s="40" t="s">
        <v>29</v>
      </c>
      <c r="E74" s="4" t="s">
        <v>42</v>
      </c>
      <c r="F74" s="4" t="s">
        <v>51</v>
      </c>
      <c r="G74" s="5"/>
    </row>
    <row r="75" spans="1:7" x14ac:dyDescent="0.3">
      <c r="A75" s="12">
        <v>3</v>
      </c>
      <c r="B75" s="36">
        <v>1</v>
      </c>
      <c r="C75" s="36" t="s">
        <v>81</v>
      </c>
      <c r="D75" s="42" t="s">
        <v>0</v>
      </c>
      <c r="E75" s="15" t="s">
        <v>41</v>
      </c>
      <c r="F75" s="15" t="s">
        <v>66</v>
      </c>
      <c r="G75" s="5"/>
    </row>
    <row r="76" spans="1:7" x14ac:dyDescent="0.3">
      <c r="A76" s="7">
        <v>3</v>
      </c>
      <c r="B76" s="37">
        <v>1</v>
      </c>
      <c r="C76" s="37" t="s">
        <v>81</v>
      </c>
      <c r="D76" s="43" t="s">
        <v>40</v>
      </c>
      <c r="E76" s="4" t="s">
        <v>9</v>
      </c>
      <c r="F76" s="4" t="s">
        <v>66</v>
      </c>
      <c r="G76" s="5"/>
    </row>
    <row r="77" spans="1:7" x14ac:dyDescent="0.3">
      <c r="A77" s="4">
        <v>4</v>
      </c>
      <c r="B77" s="41">
        <v>2</v>
      </c>
      <c r="C77" s="41" t="s">
        <v>80</v>
      </c>
      <c r="D77" s="41" t="s">
        <v>29</v>
      </c>
      <c r="E77" s="4" t="s">
        <v>42</v>
      </c>
      <c r="F77" s="4" t="s">
        <v>59</v>
      </c>
      <c r="G77" s="5"/>
    </row>
    <row r="78" spans="1:7" x14ac:dyDescent="0.3">
      <c r="A78" s="15">
        <v>4</v>
      </c>
      <c r="B78" s="36">
        <v>1</v>
      </c>
      <c r="C78" s="36" t="s">
        <v>81</v>
      </c>
      <c r="D78" s="42" t="s">
        <v>0</v>
      </c>
      <c r="E78" s="15" t="s">
        <v>41</v>
      </c>
      <c r="F78" s="15" t="s">
        <v>74</v>
      </c>
      <c r="G78" s="5"/>
    </row>
    <row r="79" spans="1:7" x14ac:dyDescent="0.3">
      <c r="A79" s="4">
        <v>4</v>
      </c>
      <c r="B79" s="37">
        <v>1</v>
      </c>
      <c r="C79" s="37" t="s">
        <v>81</v>
      </c>
      <c r="D79" s="43" t="s">
        <v>40</v>
      </c>
      <c r="E79" s="4" t="s">
        <v>9</v>
      </c>
      <c r="F79" s="4" t="s">
        <v>74</v>
      </c>
      <c r="G79" s="5"/>
    </row>
    <row r="80" spans="1:7" x14ac:dyDescent="0.3">
      <c r="A80" s="15">
        <v>4</v>
      </c>
      <c r="B80" s="36">
        <v>1</v>
      </c>
      <c r="C80" s="36" t="s">
        <v>81</v>
      </c>
      <c r="D80" s="42" t="s">
        <v>0</v>
      </c>
      <c r="E80" s="15" t="s">
        <v>41</v>
      </c>
      <c r="F80" s="15" t="s">
        <v>73</v>
      </c>
      <c r="G80" s="5"/>
    </row>
    <row r="81" spans="1:9" x14ac:dyDescent="0.3">
      <c r="A81" s="4">
        <v>4</v>
      </c>
      <c r="B81" s="37">
        <v>2</v>
      </c>
      <c r="C81" s="37" t="s">
        <v>80</v>
      </c>
      <c r="D81" s="43" t="s">
        <v>40</v>
      </c>
      <c r="E81" s="4" t="s">
        <v>10</v>
      </c>
      <c r="F81" s="4" t="s">
        <v>73</v>
      </c>
      <c r="G81" s="5"/>
    </row>
    <row r="82" spans="1:9" x14ac:dyDescent="0.3">
      <c r="A82" s="15">
        <v>4</v>
      </c>
      <c r="B82" s="41">
        <v>1</v>
      </c>
      <c r="C82" s="41" t="s">
        <v>81</v>
      </c>
      <c r="D82" s="41" t="s">
        <v>29</v>
      </c>
      <c r="E82" s="15" t="s">
        <v>42</v>
      </c>
      <c r="F82" s="15" t="s">
        <v>60</v>
      </c>
      <c r="G82" s="5"/>
    </row>
    <row r="83" spans="1:9" x14ac:dyDescent="0.3">
      <c r="A83" s="4">
        <v>4</v>
      </c>
      <c r="B83" s="41">
        <v>1</v>
      </c>
      <c r="C83" s="41" t="s">
        <v>81</v>
      </c>
      <c r="D83" s="41" t="s">
        <v>29</v>
      </c>
      <c r="E83" s="4" t="s">
        <v>42</v>
      </c>
      <c r="F83" s="4" t="s">
        <v>61</v>
      </c>
      <c r="G83" s="5"/>
    </row>
    <row r="84" spans="1:9" x14ac:dyDescent="0.3">
      <c r="A84" s="15">
        <v>4</v>
      </c>
      <c r="B84" s="36">
        <v>2</v>
      </c>
      <c r="C84" s="36" t="s">
        <v>80</v>
      </c>
      <c r="D84" s="42" t="s">
        <v>0</v>
      </c>
      <c r="E84" s="15" t="s">
        <v>41</v>
      </c>
      <c r="F84" s="15" t="s">
        <v>72</v>
      </c>
      <c r="G84" s="5"/>
    </row>
    <row r="85" spans="1:9" x14ac:dyDescent="0.3">
      <c r="A85" s="4">
        <v>4</v>
      </c>
      <c r="B85" s="37">
        <v>2</v>
      </c>
      <c r="C85" s="37" t="s">
        <v>80</v>
      </c>
      <c r="D85" s="43" t="s">
        <v>40</v>
      </c>
      <c r="E85" s="4" t="s">
        <v>9</v>
      </c>
      <c r="F85" s="4" t="s">
        <v>72</v>
      </c>
      <c r="G85" s="5"/>
    </row>
    <row r="86" spans="1:9" x14ac:dyDescent="0.3">
      <c r="A86" s="15">
        <v>4</v>
      </c>
      <c r="B86" s="36">
        <v>2</v>
      </c>
      <c r="C86" s="36" t="s">
        <v>80</v>
      </c>
      <c r="D86" s="42" t="s">
        <v>0</v>
      </c>
      <c r="E86" s="15" t="s">
        <v>41</v>
      </c>
      <c r="F86" s="15" t="s">
        <v>71</v>
      </c>
      <c r="G86" s="5"/>
    </row>
    <row r="87" spans="1:9" x14ac:dyDescent="0.3">
      <c r="A87" s="4">
        <v>4</v>
      </c>
      <c r="B87" s="37">
        <v>1</v>
      </c>
      <c r="C87" s="37" t="s">
        <v>81</v>
      </c>
      <c r="D87" s="43" t="s">
        <v>40</v>
      </c>
      <c r="E87" s="4" t="s">
        <v>10</v>
      </c>
      <c r="F87" s="4" t="s">
        <v>71</v>
      </c>
      <c r="G87" s="5"/>
    </row>
    <row r="88" spans="1:9" x14ac:dyDescent="0.3">
      <c r="A88" s="15">
        <v>4</v>
      </c>
      <c r="B88" s="41">
        <v>1</v>
      </c>
      <c r="C88" s="41" t="s">
        <v>81</v>
      </c>
      <c r="D88" s="41" t="s">
        <v>29</v>
      </c>
      <c r="E88" s="15" t="s">
        <v>42</v>
      </c>
      <c r="F88" s="15" t="s">
        <v>62</v>
      </c>
      <c r="G88" s="5"/>
    </row>
    <row r="89" spans="1:9" x14ac:dyDescent="0.3">
      <c r="A89" s="4">
        <v>4</v>
      </c>
      <c r="B89" s="37">
        <v>1</v>
      </c>
      <c r="C89" s="37" t="s">
        <v>81</v>
      </c>
      <c r="D89" s="43" t="s">
        <v>0</v>
      </c>
      <c r="E89" s="4" t="s">
        <v>41</v>
      </c>
      <c r="F89" s="4" t="s">
        <v>70</v>
      </c>
      <c r="G89" s="5"/>
    </row>
    <row r="90" spans="1:9" x14ac:dyDescent="0.3">
      <c r="A90" s="15">
        <v>4</v>
      </c>
      <c r="B90" s="36">
        <v>2</v>
      </c>
      <c r="C90" s="36" t="s">
        <v>80</v>
      </c>
      <c r="D90" s="42" t="s">
        <v>40</v>
      </c>
      <c r="E90" s="15" t="s">
        <v>10</v>
      </c>
      <c r="F90" s="15" t="s">
        <v>70</v>
      </c>
      <c r="G90" s="5"/>
    </row>
    <row r="91" spans="1:9" x14ac:dyDescent="0.3">
      <c r="A91" s="4">
        <v>4</v>
      </c>
      <c r="B91" s="37">
        <v>2</v>
      </c>
      <c r="C91" s="37" t="s">
        <v>80</v>
      </c>
      <c r="D91" s="43" t="s">
        <v>0</v>
      </c>
      <c r="E91" s="4" t="s">
        <v>41</v>
      </c>
      <c r="F91" s="4" t="s">
        <v>69</v>
      </c>
      <c r="G91" s="5"/>
    </row>
    <row r="92" spans="1:9" x14ac:dyDescent="0.3">
      <c r="A92" s="15">
        <v>4</v>
      </c>
      <c r="B92" s="36">
        <v>2</v>
      </c>
      <c r="C92" s="36" t="s">
        <v>80</v>
      </c>
      <c r="D92" s="42" t="s">
        <v>40</v>
      </c>
      <c r="E92" s="15" t="s">
        <v>9</v>
      </c>
      <c r="F92" s="15" t="s">
        <v>69</v>
      </c>
      <c r="G92" s="5"/>
      <c r="I92" t="s">
        <v>19</v>
      </c>
    </row>
    <row r="93" spans="1:9" x14ac:dyDescent="0.3">
      <c r="A93" s="4">
        <v>4</v>
      </c>
      <c r="B93" s="41">
        <v>1</v>
      </c>
      <c r="C93" s="41" t="s">
        <v>81</v>
      </c>
      <c r="D93" s="41" t="s">
        <v>29</v>
      </c>
      <c r="E93" s="4" t="s">
        <v>42</v>
      </c>
      <c r="F93" s="4" t="s">
        <v>63</v>
      </c>
      <c r="G93" s="5"/>
    </row>
    <row r="94" spans="1:9" x14ac:dyDescent="0.3">
      <c r="A94" s="4">
        <v>4</v>
      </c>
      <c r="B94" s="41">
        <v>2</v>
      </c>
      <c r="C94" s="41" t="s">
        <v>80</v>
      </c>
      <c r="D94" s="41" t="s">
        <v>29</v>
      </c>
      <c r="E94" s="4" t="s">
        <v>42</v>
      </c>
      <c r="F94" s="4" t="s">
        <v>65</v>
      </c>
      <c r="G94" s="5"/>
    </row>
    <row r="95" spans="1:9" x14ac:dyDescent="0.3">
      <c r="A95" s="15">
        <v>4</v>
      </c>
      <c r="B95" s="36">
        <v>2</v>
      </c>
      <c r="C95" s="36" t="s">
        <v>80</v>
      </c>
      <c r="D95" s="42" t="s">
        <v>0</v>
      </c>
      <c r="E95" s="15" t="s">
        <v>41</v>
      </c>
      <c r="F95" s="15" t="s">
        <v>68</v>
      </c>
      <c r="G95" s="5"/>
    </row>
    <row r="96" spans="1:9" x14ac:dyDescent="0.3">
      <c r="A96" s="4">
        <v>4</v>
      </c>
      <c r="B96" s="37">
        <v>1</v>
      </c>
      <c r="C96" s="37" t="s">
        <v>81</v>
      </c>
      <c r="D96" s="43" t="s">
        <v>40</v>
      </c>
      <c r="E96" s="4" t="s">
        <v>10</v>
      </c>
      <c r="F96" s="4" t="s">
        <v>68</v>
      </c>
      <c r="G96" s="5"/>
    </row>
    <row r="97" spans="1:7" x14ac:dyDescent="0.3">
      <c r="A97" s="4">
        <v>4</v>
      </c>
      <c r="B97" s="37">
        <v>1</v>
      </c>
      <c r="C97" s="37" t="s">
        <v>81</v>
      </c>
      <c r="D97" s="43" t="s">
        <v>0</v>
      </c>
      <c r="E97" s="4" t="s">
        <v>41</v>
      </c>
      <c r="F97" s="4" t="s">
        <v>67</v>
      </c>
      <c r="G97" s="5"/>
    </row>
    <row r="98" spans="1:7" x14ac:dyDescent="0.3">
      <c r="A98" s="15">
        <v>4</v>
      </c>
      <c r="B98" s="36">
        <v>1</v>
      </c>
      <c r="C98" s="36" t="s">
        <v>81</v>
      </c>
      <c r="D98" s="42" t="s">
        <v>40</v>
      </c>
      <c r="E98" s="15" t="s">
        <v>9</v>
      </c>
      <c r="F98" s="15" t="s">
        <v>67</v>
      </c>
      <c r="G98" s="5"/>
    </row>
    <row r="99" spans="1:7" x14ac:dyDescent="0.3">
      <c r="A99" s="15">
        <v>4</v>
      </c>
      <c r="B99" s="41">
        <v>1</v>
      </c>
      <c r="C99" s="41" t="s">
        <v>80</v>
      </c>
      <c r="D99" s="41" t="s">
        <v>29</v>
      </c>
      <c r="E99" s="15" t="s">
        <v>42</v>
      </c>
      <c r="F99" s="15" t="s">
        <v>66</v>
      </c>
      <c r="G99" s="5"/>
    </row>
    <row r="100" spans="1:7" x14ac:dyDescent="0.3">
      <c r="A100" s="15">
        <v>4</v>
      </c>
      <c r="B100" s="41">
        <v>1</v>
      </c>
      <c r="C100" s="41" t="s">
        <v>81</v>
      </c>
      <c r="D100" s="41" t="s">
        <v>29</v>
      </c>
      <c r="E100" s="15" t="s">
        <v>42</v>
      </c>
      <c r="F100" s="15" t="s">
        <v>64</v>
      </c>
      <c r="G100" s="5"/>
    </row>
    <row r="101" spans="1:7" x14ac:dyDescent="0.3">
      <c r="A101" t="s">
        <v>25</v>
      </c>
      <c r="G101" s="5"/>
    </row>
    <row r="102" spans="1:7" x14ac:dyDescent="0.3">
      <c r="A102" s="12">
        <v>1</v>
      </c>
      <c r="B102" s="42">
        <v>2</v>
      </c>
      <c r="C102" s="42" t="s">
        <v>80</v>
      </c>
      <c r="D102" s="42" t="s">
        <v>0</v>
      </c>
      <c r="E102" s="15" t="s">
        <v>41</v>
      </c>
      <c r="F102" s="15" t="s">
        <v>46</v>
      </c>
      <c r="G102" s="5"/>
    </row>
    <row r="103" spans="1:7" x14ac:dyDescent="0.3">
      <c r="A103" s="7">
        <v>1</v>
      </c>
      <c r="B103" s="43">
        <v>2</v>
      </c>
      <c r="C103" s="42" t="s">
        <v>80</v>
      </c>
      <c r="D103" s="43" t="s">
        <v>40</v>
      </c>
      <c r="E103" s="4" t="s">
        <v>9</v>
      </c>
      <c r="F103" s="4" t="s">
        <v>46</v>
      </c>
      <c r="G103" s="5"/>
    </row>
    <row r="104" spans="1:7" x14ac:dyDescent="0.3">
      <c r="A104" s="12">
        <v>1</v>
      </c>
      <c r="B104" s="38">
        <v>1</v>
      </c>
      <c r="C104" s="44" t="s">
        <v>81</v>
      </c>
      <c r="D104" s="46" t="s">
        <v>29</v>
      </c>
      <c r="E104" s="15" t="s">
        <v>42</v>
      </c>
      <c r="F104" s="15" t="s">
        <v>72</v>
      </c>
      <c r="G104" s="5"/>
    </row>
    <row r="105" spans="1:7" x14ac:dyDescent="0.3">
      <c r="A105" s="12">
        <v>1</v>
      </c>
      <c r="B105" s="42">
        <v>2</v>
      </c>
      <c r="C105" s="42" t="s">
        <v>80</v>
      </c>
      <c r="D105" s="42" t="s">
        <v>0</v>
      </c>
      <c r="E105" s="15" t="s">
        <v>41</v>
      </c>
      <c r="F105" s="15" t="s">
        <v>45</v>
      </c>
      <c r="G105" s="5"/>
    </row>
    <row r="106" spans="1:7" x14ac:dyDescent="0.3">
      <c r="A106" s="7">
        <v>1</v>
      </c>
      <c r="B106" s="43">
        <v>2</v>
      </c>
      <c r="C106" s="42" t="s">
        <v>80</v>
      </c>
      <c r="D106" s="43" t="s">
        <v>40</v>
      </c>
      <c r="E106" s="4" t="s">
        <v>9</v>
      </c>
      <c r="F106" s="4" t="s">
        <v>45</v>
      </c>
      <c r="G106" s="5"/>
    </row>
    <row r="107" spans="1:7" x14ac:dyDescent="0.3">
      <c r="A107" s="15">
        <v>1</v>
      </c>
      <c r="B107" s="43">
        <v>1</v>
      </c>
      <c r="C107" s="42" t="s">
        <v>81</v>
      </c>
      <c r="D107" s="43" t="s">
        <v>29</v>
      </c>
      <c r="E107" s="15" t="s">
        <v>42</v>
      </c>
      <c r="F107" s="15"/>
      <c r="G107" s="50" t="s">
        <v>127</v>
      </c>
    </row>
    <row r="108" spans="1:7" x14ac:dyDescent="0.3">
      <c r="A108" s="7">
        <v>1</v>
      </c>
      <c r="B108" s="38">
        <v>2</v>
      </c>
      <c r="C108" s="38" t="s">
        <v>80</v>
      </c>
      <c r="D108" s="46" t="s">
        <v>29</v>
      </c>
      <c r="E108" s="4" t="s">
        <v>42</v>
      </c>
      <c r="F108" s="4" t="s">
        <v>67</v>
      </c>
      <c r="G108" s="5"/>
    </row>
    <row r="109" spans="1:7" x14ac:dyDescent="0.3">
      <c r="A109" s="12">
        <v>1</v>
      </c>
      <c r="B109" s="42">
        <v>2</v>
      </c>
      <c r="C109" s="42" t="s">
        <v>80</v>
      </c>
      <c r="D109" s="42" t="s">
        <v>0</v>
      </c>
      <c r="E109" s="15" t="s">
        <v>41</v>
      </c>
      <c r="F109" s="15" t="s">
        <v>48</v>
      </c>
      <c r="G109" s="5"/>
    </row>
    <row r="110" spans="1:7" x14ac:dyDescent="0.3">
      <c r="A110" s="7">
        <v>1</v>
      </c>
      <c r="B110" s="43">
        <v>1</v>
      </c>
      <c r="C110" s="43" t="s">
        <v>81</v>
      </c>
      <c r="D110" s="43" t="s">
        <v>40</v>
      </c>
      <c r="E110" s="4" t="s">
        <v>10</v>
      </c>
      <c r="F110" s="4" t="s">
        <v>48</v>
      </c>
      <c r="G110" s="5"/>
    </row>
    <row r="111" spans="1:7" x14ac:dyDescent="0.3">
      <c r="A111" s="12">
        <v>1</v>
      </c>
      <c r="B111" s="38">
        <v>1</v>
      </c>
      <c r="C111" s="44" t="s">
        <v>81</v>
      </c>
      <c r="D111" s="46" t="s">
        <v>29</v>
      </c>
      <c r="E111" s="15" t="s">
        <v>42</v>
      </c>
      <c r="F111" s="15" t="s">
        <v>71</v>
      </c>
      <c r="G111" s="5"/>
    </row>
    <row r="112" spans="1:7" x14ac:dyDescent="0.3">
      <c r="A112" s="7">
        <v>1</v>
      </c>
      <c r="B112" s="43">
        <v>1</v>
      </c>
      <c r="C112" s="43" t="s">
        <v>81</v>
      </c>
      <c r="D112" s="43" t="s">
        <v>0</v>
      </c>
      <c r="E112" s="4" t="s">
        <v>41</v>
      </c>
      <c r="F112" s="4" t="s">
        <v>44</v>
      </c>
      <c r="G112" s="5"/>
    </row>
    <row r="113" spans="1:7" x14ac:dyDescent="0.3">
      <c r="A113" s="12">
        <v>1</v>
      </c>
      <c r="B113" s="42">
        <v>2</v>
      </c>
      <c r="C113" s="42" t="s">
        <v>80</v>
      </c>
      <c r="D113" s="42" t="s">
        <v>40</v>
      </c>
      <c r="E113" s="15" t="s">
        <v>10</v>
      </c>
      <c r="F113" s="15" t="s">
        <v>44</v>
      </c>
      <c r="G113" s="5"/>
    </row>
    <row r="114" spans="1:7" x14ac:dyDescent="0.3">
      <c r="A114" s="7">
        <v>1</v>
      </c>
      <c r="B114" s="43">
        <v>2</v>
      </c>
      <c r="C114" s="43" t="s">
        <v>80</v>
      </c>
      <c r="D114" s="43" t="s">
        <v>0</v>
      </c>
      <c r="E114" s="4" t="s">
        <v>41</v>
      </c>
      <c r="F114" s="4" t="s">
        <v>43</v>
      </c>
      <c r="G114" s="5"/>
    </row>
    <row r="115" spans="1:7" x14ac:dyDescent="0.3">
      <c r="A115" s="12">
        <v>1</v>
      </c>
      <c r="B115" s="42">
        <v>1</v>
      </c>
      <c r="C115" s="42" t="s">
        <v>81</v>
      </c>
      <c r="D115" s="42" t="s">
        <v>40</v>
      </c>
      <c r="E115" s="15" t="s">
        <v>10</v>
      </c>
      <c r="F115" s="15" t="s">
        <v>43</v>
      </c>
      <c r="G115" s="5"/>
    </row>
    <row r="116" spans="1:7" x14ac:dyDescent="0.3">
      <c r="A116" s="7">
        <v>1</v>
      </c>
      <c r="B116" s="38">
        <v>2</v>
      </c>
      <c r="C116" s="38" t="s">
        <v>80</v>
      </c>
      <c r="D116" s="46" t="s">
        <v>29</v>
      </c>
      <c r="E116" s="4" t="s">
        <v>42</v>
      </c>
      <c r="F116" s="4" t="s">
        <v>73</v>
      </c>
      <c r="G116" s="5"/>
    </row>
    <row r="117" spans="1:7" x14ac:dyDescent="0.3">
      <c r="A117" s="12">
        <v>1</v>
      </c>
      <c r="B117" s="42">
        <v>1</v>
      </c>
      <c r="C117" s="42" t="s">
        <v>81</v>
      </c>
      <c r="D117" s="42" t="s">
        <v>0</v>
      </c>
      <c r="E117" s="15" t="s">
        <v>41</v>
      </c>
      <c r="F117" s="15" t="s">
        <v>50</v>
      </c>
      <c r="G117" s="5"/>
    </row>
    <row r="118" spans="1:7" x14ac:dyDescent="0.3">
      <c r="A118" s="7">
        <v>1</v>
      </c>
      <c r="B118" s="43">
        <v>1</v>
      </c>
      <c r="C118" s="42" t="s">
        <v>81</v>
      </c>
      <c r="D118" s="43" t="s">
        <v>40</v>
      </c>
      <c r="E118" s="4" t="s">
        <v>9</v>
      </c>
      <c r="F118" s="4" t="s">
        <v>50</v>
      </c>
      <c r="G118" s="5"/>
    </row>
    <row r="119" spans="1:7" x14ac:dyDescent="0.3">
      <c r="A119" s="12">
        <v>1</v>
      </c>
      <c r="B119" s="38">
        <v>2</v>
      </c>
      <c r="C119" s="44" t="s">
        <v>80</v>
      </c>
      <c r="D119" s="46" t="s">
        <v>29</v>
      </c>
      <c r="E119" s="15" t="s">
        <v>42</v>
      </c>
      <c r="F119" s="15" t="s">
        <v>68</v>
      </c>
      <c r="G119" s="5"/>
    </row>
    <row r="120" spans="1:7" x14ac:dyDescent="0.3">
      <c r="A120" s="7">
        <v>1</v>
      </c>
      <c r="B120" s="43">
        <v>1</v>
      </c>
      <c r="C120" s="43" t="s">
        <v>81</v>
      </c>
      <c r="D120" s="43" t="s">
        <v>0</v>
      </c>
      <c r="E120" s="4" t="s">
        <v>41</v>
      </c>
      <c r="F120" s="4" t="s">
        <v>47</v>
      </c>
      <c r="G120" s="5"/>
    </row>
    <row r="121" spans="1:7" x14ac:dyDescent="0.3">
      <c r="A121" s="12">
        <v>1</v>
      </c>
      <c r="B121" s="42">
        <v>1</v>
      </c>
      <c r="C121" s="42" t="s">
        <v>81</v>
      </c>
      <c r="D121" s="42" t="s">
        <v>40</v>
      </c>
      <c r="E121" s="15" t="s">
        <v>9</v>
      </c>
      <c r="F121" s="15" t="s">
        <v>47</v>
      </c>
      <c r="G121" s="5"/>
    </row>
    <row r="122" spans="1:7" x14ac:dyDescent="0.3">
      <c r="A122" s="7">
        <v>1</v>
      </c>
      <c r="B122" s="38">
        <v>2</v>
      </c>
      <c r="C122" s="38" t="s">
        <v>80</v>
      </c>
      <c r="D122" s="46" t="s">
        <v>29</v>
      </c>
      <c r="E122" s="4" t="s">
        <v>42</v>
      </c>
      <c r="F122" s="4" t="s">
        <v>74</v>
      </c>
      <c r="G122" s="5"/>
    </row>
    <row r="123" spans="1:7" x14ac:dyDescent="0.3">
      <c r="A123" s="12">
        <v>1</v>
      </c>
      <c r="B123" s="38">
        <v>1</v>
      </c>
      <c r="C123" s="44" t="s">
        <v>81</v>
      </c>
      <c r="D123" s="46" t="s">
        <v>29</v>
      </c>
      <c r="E123" s="15" t="s">
        <v>42</v>
      </c>
      <c r="F123" s="15" t="s">
        <v>69</v>
      </c>
      <c r="G123" s="5"/>
    </row>
    <row r="124" spans="1:7" x14ac:dyDescent="0.3">
      <c r="A124" s="7">
        <v>1</v>
      </c>
      <c r="B124" s="43">
        <v>1</v>
      </c>
      <c r="C124" s="43" t="s">
        <v>81</v>
      </c>
      <c r="D124" s="43" t="s">
        <v>0</v>
      </c>
      <c r="E124" s="4" t="s">
        <v>41</v>
      </c>
      <c r="F124" s="4" t="s">
        <v>49</v>
      </c>
      <c r="G124" s="5"/>
    </row>
    <row r="125" spans="1:7" x14ac:dyDescent="0.3">
      <c r="A125" s="12">
        <v>1</v>
      </c>
      <c r="B125" s="42">
        <v>2</v>
      </c>
      <c r="C125" s="42" t="s">
        <v>80</v>
      </c>
      <c r="D125" s="42" t="s">
        <v>40</v>
      </c>
      <c r="E125" s="15" t="s">
        <v>10</v>
      </c>
      <c r="F125" s="15" t="s">
        <v>49</v>
      </c>
      <c r="G125" s="5"/>
    </row>
    <row r="126" spans="1:7" x14ac:dyDescent="0.3">
      <c r="A126" s="7">
        <v>1</v>
      </c>
      <c r="B126" s="38">
        <v>1</v>
      </c>
      <c r="C126" s="38" t="s">
        <v>81</v>
      </c>
      <c r="D126" s="46" t="s">
        <v>29</v>
      </c>
      <c r="E126" s="4" t="s">
        <v>42</v>
      </c>
      <c r="F126" s="4" t="s">
        <v>70</v>
      </c>
      <c r="G126" s="5"/>
    </row>
    <row r="127" spans="1:7" x14ac:dyDescent="0.3">
      <c r="A127" s="4">
        <v>2</v>
      </c>
      <c r="B127" s="43">
        <v>1</v>
      </c>
      <c r="C127" s="37" t="s">
        <v>81</v>
      </c>
      <c r="D127" s="43" t="s">
        <v>0</v>
      </c>
      <c r="E127" s="4" t="s">
        <v>41</v>
      </c>
      <c r="F127" s="4" t="s">
        <v>54</v>
      </c>
      <c r="G127" s="5"/>
    </row>
    <row r="128" spans="1:7" x14ac:dyDescent="0.3">
      <c r="A128" s="15">
        <v>2</v>
      </c>
      <c r="B128" s="42">
        <v>1</v>
      </c>
      <c r="C128" s="36" t="s">
        <v>81</v>
      </c>
      <c r="D128" s="42" t="s">
        <v>40</v>
      </c>
      <c r="E128" s="15" t="s">
        <v>9</v>
      </c>
      <c r="F128" s="15" t="s">
        <v>54</v>
      </c>
      <c r="G128" s="5"/>
    </row>
    <row r="129" spans="1:7" x14ac:dyDescent="0.3">
      <c r="A129" s="4">
        <v>2</v>
      </c>
      <c r="B129" s="39">
        <v>2</v>
      </c>
      <c r="C129" s="39" t="s">
        <v>80</v>
      </c>
      <c r="D129" s="39" t="s">
        <v>29</v>
      </c>
      <c r="E129" s="4" t="s">
        <v>42</v>
      </c>
      <c r="F129" s="4" t="s">
        <v>46</v>
      </c>
      <c r="G129" s="5"/>
    </row>
    <row r="130" spans="1:7" x14ac:dyDescent="0.3">
      <c r="A130" s="15">
        <v>2</v>
      </c>
      <c r="B130" s="42">
        <v>1</v>
      </c>
      <c r="C130" s="42" t="s">
        <v>81</v>
      </c>
      <c r="D130" s="42" t="s">
        <v>0</v>
      </c>
      <c r="E130" s="15" t="s">
        <v>41</v>
      </c>
      <c r="F130" s="15" t="s">
        <v>56</v>
      </c>
      <c r="G130" s="5"/>
    </row>
    <row r="131" spans="1:7" x14ac:dyDescent="0.3">
      <c r="A131" s="4">
        <v>2</v>
      </c>
      <c r="B131" s="43">
        <v>1</v>
      </c>
      <c r="C131" s="43" t="s">
        <v>81</v>
      </c>
      <c r="D131" s="43" t="s">
        <v>40</v>
      </c>
      <c r="E131" s="4" t="s">
        <v>9</v>
      </c>
      <c r="F131" s="4" t="s">
        <v>56</v>
      </c>
      <c r="G131" s="5"/>
    </row>
    <row r="132" spans="1:7" x14ac:dyDescent="0.3">
      <c r="A132" s="15">
        <v>2</v>
      </c>
      <c r="B132" s="42">
        <v>1</v>
      </c>
      <c r="C132" s="42" t="s">
        <v>81</v>
      </c>
      <c r="D132" s="42" t="s">
        <v>0</v>
      </c>
      <c r="E132" s="15" t="s">
        <v>41</v>
      </c>
      <c r="F132" s="15" t="s">
        <v>58</v>
      </c>
      <c r="G132" s="5"/>
    </row>
    <row r="133" spans="1:7" x14ac:dyDescent="0.3">
      <c r="A133" s="4">
        <v>2</v>
      </c>
      <c r="B133" s="43">
        <v>2</v>
      </c>
      <c r="C133" s="43" t="s">
        <v>80</v>
      </c>
      <c r="D133" s="43" t="s">
        <v>40</v>
      </c>
      <c r="E133" s="4" t="s">
        <v>10</v>
      </c>
      <c r="F133" s="4" t="s">
        <v>58</v>
      </c>
      <c r="G133" s="5"/>
    </row>
    <row r="134" spans="1:7" x14ac:dyDescent="0.3">
      <c r="A134" s="15">
        <v>2</v>
      </c>
      <c r="B134" s="39">
        <v>2</v>
      </c>
      <c r="C134" s="39" t="s">
        <v>80</v>
      </c>
      <c r="D134" s="39" t="s">
        <v>29</v>
      </c>
      <c r="E134" s="15" t="s">
        <v>42</v>
      </c>
      <c r="F134" s="15" t="s">
        <v>45</v>
      </c>
      <c r="G134" s="5"/>
    </row>
    <row r="135" spans="1:7" x14ac:dyDescent="0.3">
      <c r="A135" s="4">
        <v>2</v>
      </c>
      <c r="B135" s="43">
        <v>2</v>
      </c>
      <c r="C135" s="43" t="s">
        <v>80</v>
      </c>
      <c r="D135" s="43" t="s">
        <v>0</v>
      </c>
      <c r="E135" s="4" t="s">
        <v>41</v>
      </c>
      <c r="F135" s="4" t="s">
        <v>52</v>
      </c>
      <c r="G135" s="5"/>
    </row>
    <row r="136" spans="1:7" x14ac:dyDescent="0.3">
      <c r="A136" s="15">
        <v>2</v>
      </c>
      <c r="B136" s="42">
        <v>1</v>
      </c>
      <c r="C136" s="42" t="s">
        <v>81</v>
      </c>
      <c r="D136" s="42" t="s">
        <v>40</v>
      </c>
      <c r="E136" s="15" t="s">
        <v>10</v>
      </c>
      <c r="F136" s="15" t="s">
        <v>52</v>
      </c>
      <c r="G136" s="5"/>
    </row>
    <row r="137" spans="1:7" x14ac:dyDescent="0.3">
      <c r="A137" s="4">
        <v>2</v>
      </c>
      <c r="B137" s="43">
        <v>1</v>
      </c>
      <c r="C137" s="43" t="s">
        <v>81</v>
      </c>
      <c r="D137" s="43" t="s">
        <v>0</v>
      </c>
      <c r="E137" s="4" t="s">
        <v>41</v>
      </c>
      <c r="F137" s="4" t="s">
        <v>57</v>
      </c>
      <c r="G137" s="5"/>
    </row>
    <row r="138" spans="1:7" x14ac:dyDescent="0.3">
      <c r="A138" s="15">
        <v>2</v>
      </c>
      <c r="B138" s="42">
        <v>2</v>
      </c>
      <c r="C138" s="42" t="s">
        <v>80</v>
      </c>
      <c r="D138" s="42" t="s">
        <v>40</v>
      </c>
      <c r="E138" s="15" t="s">
        <v>10</v>
      </c>
      <c r="F138" s="15" t="s">
        <v>57</v>
      </c>
      <c r="G138" s="5"/>
    </row>
    <row r="139" spans="1:7" x14ac:dyDescent="0.3">
      <c r="A139" s="4">
        <v>2</v>
      </c>
      <c r="B139" s="39">
        <v>1</v>
      </c>
      <c r="C139" s="39" t="s">
        <v>81</v>
      </c>
      <c r="D139" s="39" t="s">
        <v>29</v>
      </c>
      <c r="E139" s="4" t="s">
        <v>42</v>
      </c>
      <c r="F139" s="4" t="s">
        <v>48</v>
      </c>
      <c r="G139" s="5"/>
    </row>
    <row r="140" spans="1:7" x14ac:dyDescent="0.3">
      <c r="A140" s="15">
        <v>2</v>
      </c>
      <c r="B140" s="39">
        <v>1</v>
      </c>
      <c r="C140" s="39" t="s">
        <v>81</v>
      </c>
      <c r="D140" s="39" t="s">
        <v>29</v>
      </c>
      <c r="E140" s="15" t="s">
        <v>42</v>
      </c>
      <c r="F140" s="15" t="s">
        <v>44</v>
      </c>
      <c r="G140" s="5"/>
    </row>
    <row r="141" spans="1:7" x14ac:dyDescent="0.3">
      <c r="A141" s="4">
        <v>2</v>
      </c>
      <c r="B141" s="43">
        <v>2</v>
      </c>
      <c r="C141" s="43" t="s">
        <v>80</v>
      </c>
      <c r="D141" s="43" t="s">
        <v>0</v>
      </c>
      <c r="E141" s="4" t="s">
        <v>41</v>
      </c>
      <c r="F141" s="4" t="s">
        <v>55</v>
      </c>
      <c r="G141" s="5"/>
    </row>
    <row r="142" spans="1:7" x14ac:dyDescent="0.3">
      <c r="A142" s="15">
        <v>2</v>
      </c>
      <c r="B142" s="42">
        <v>2</v>
      </c>
      <c r="C142" s="42" t="s">
        <v>80</v>
      </c>
      <c r="D142" s="42" t="s">
        <v>40</v>
      </c>
      <c r="E142" s="15" t="s">
        <v>9</v>
      </c>
      <c r="F142" s="15" t="s">
        <v>55</v>
      </c>
      <c r="G142" s="5"/>
    </row>
    <row r="143" spans="1:7" x14ac:dyDescent="0.3">
      <c r="A143" s="4">
        <v>2</v>
      </c>
      <c r="B143" s="39">
        <v>1</v>
      </c>
      <c r="C143" s="39" t="s">
        <v>81</v>
      </c>
      <c r="D143" s="39" t="s">
        <v>29</v>
      </c>
      <c r="E143" s="4" t="s">
        <v>42</v>
      </c>
      <c r="F143" s="4" t="s">
        <v>43</v>
      </c>
      <c r="G143" s="5"/>
    </row>
    <row r="144" spans="1:7" x14ac:dyDescent="0.3">
      <c r="A144" s="15">
        <v>2</v>
      </c>
      <c r="B144" s="42">
        <v>2</v>
      </c>
      <c r="C144" s="42" t="s">
        <v>80</v>
      </c>
      <c r="D144" s="42" t="s">
        <v>0</v>
      </c>
      <c r="E144" s="15" t="s">
        <v>41</v>
      </c>
      <c r="F144" s="15" t="s">
        <v>51</v>
      </c>
      <c r="G144" s="5"/>
    </row>
    <row r="145" spans="1:7" x14ac:dyDescent="0.3">
      <c r="A145" s="4">
        <v>2</v>
      </c>
      <c r="B145" s="43">
        <v>2</v>
      </c>
      <c r="C145" s="43" t="s">
        <v>80</v>
      </c>
      <c r="D145" s="43" t="s">
        <v>40</v>
      </c>
      <c r="E145" s="4" t="s">
        <v>9</v>
      </c>
      <c r="F145" s="4" t="s">
        <v>51</v>
      </c>
      <c r="G145" s="5"/>
    </row>
    <row r="146" spans="1:7" x14ac:dyDescent="0.3">
      <c r="A146" s="15">
        <v>2</v>
      </c>
      <c r="B146" s="39">
        <v>2</v>
      </c>
      <c r="C146" s="39" t="s">
        <v>80</v>
      </c>
      <c r="D146" s="39" t="s">
        <v>29</v>
      </c>
      <c r="E146" s="15" t="s">
        <v>42</v>
      </c>
      <c r="F146" s="15" t="s">
        <v>50</v>
      </c>
      <c r="G146" s="5"/>
    </row>
    <row r="147" spans="1:7" x14ac:dyDescent="0.3">
      <c r="A147" s="4">
        <v>2</v>
      </c>
      <c r="B147" s="39">
        <v>1</v>
      </c>
      <c r="C147" s="39" t="s">
        <v>81</v>
      </c>
      <c r="D147" s="39" t="s">
        <v>29</v>
      </c>
      <c r="E147" s="4" t="s">
        <v>42</v>
      </c>
      <c r="F147" s="4" t="s">
        <v>47</v>
      </c>
      <c r="G147" s="5"/>
    </row>
    <row r="148" spans="1:7" x14ac:dyDescent="0.3">
      <c r="A148" s="15">
        <v>2</v>
      </c>
      <c r="B148" s="39">
        <v>2</v>
      </c>
      <c r="C148" s="39" t="s">
        <v>80</v>
      </c>
      <c r="D148" s="39" t="s">
        <v>29</v>
      </c>
      <c r="E148" s="15" t="s">
        <v>42</v>
      </c>
      <c r="F148" s="15" t="s">
        <v>49</v>
      </c>
      <c r="G148" s="5"/>
    </row>
    <row r="149" spans="1:7" x14ac:dyDescent="0.3">
      <c r="A149" s="4">
        <v>2</v>
      </c>
      <c r="B149" s="43">
        <v>2</v>
      </c>
      <c r="C149" s="43" t="s">
        <v>80</v>
      </c>
      <c r="D149" s="43" t="s">
        <v>0</v>
      </c>
      <c r="E149" s="4" t="s">
        <v>41</v>
      </c>
      <c r="F149" s="4" t="s">
        <v>53</v>
      </c>
      <c r="G149" s="5"/>
    </row>
    <row r="150" spans="1:7" x14ac:dyDescent="0.3">
      <c r="A150" s="15">
        <v>2</v>
      </c>
      <c r="B150" s="42">
        <v>1</v>
      </c>
      <c r="C150" s="42" t="s">
        <v>81</v>
      </c>
      <c r="D150" s="42" t="s">
        <v>40</v>
      </c>
      <c r="E150" s="15" t="s">
        <v>10</v>
      </c>
      <c r="F150" s="15" t="s">
        <v>53</v>
      </c>
      <c r="G150" s="5"/>
    </row>
    <row r="151" spans="1:7" x14ac:dyDescent="0.3">
      <c r="A151" s="12">
        <v>3</v>
      </c>
      <c r="B151" s="40">
        <v>1</v>
      </c>
      <c r="C151" s="40" t="s">
        <v>81</v>
      </c>
      <c r="D151" s="40" t="s">
        <v>29</v>
      </c>
      <c r="E151" s="15" t="s">
        <v>42</v>
      </c>
      <c r="F151" s="15" t="s">
        <v>54</v>
      </c>
      <c r="G151" s="5"/>
    </row>
    <row r="152" spans="1:7" x14ac:dyDescent="0.3">
      <c r="A152" s="7">
        <v>3</v>
      </c>
      <c r="B152" s="43">
        <v>1</v>
      </c>
      <c r="C152" s="43" t="s">
        <v>81</v>
      </c>
      <c r="D152" s="43" t="s">
        <v>0</v>
      </c>
      <c r="E152" s="4" t="s">
        <v>41</v>
      </c>
      <c r="F152" s="4" t="s">
        <v>64</v>
      </c>
      <c r="G152" s="5"/>
    </row>
    <row r="153" spans="1:7" x14ac:dyDescent="0.3">
      <c r="A153" s="12">
        <v>3</v>
      </c>
      <c r="B153" s="42">
        <v>2</v>
      </c>
      <c r="C153" s="42" t="s">
        <v>80</v>
      </c>
      <c r="D153" s="42" t="s">
        <v>40</v>
      </c>
      <c r="E153" s="15" t="s">
        <v>10</v>
      </c>
      <c r="F153" s="15" t="s">
        <v>64</v>
      </c>
      <c r="G153" s="5"/>
    </row>
    <row r="154" spans="1:7" x14ac:dyDescent="0.3">
      <c r="A154" s="7">
        <v>3</v>
      </c>
      <c r="B154" s="40">
        <v>2</v>
      </c>
      <c r="C154" s="40" t="s">
        <v>80</v>
      </c>
      <c r="D154" s="40" t="s">
        <v>29</v>
      </c>
      <c r="E154" s="4" t="s">
        <v>42</v>
      </c>
      <c r="F154" s="4" t="s">
        <v>56</v>
      </c>
      <c r="G154" s="5"/>
    </row>
    <row r="155" spans="1:7" x14ac:dyDescent="0.3">
      <c r="A155" s="12">
        <v>3</v>
      </c>
      <c r="B155" s="42">
        <v>2</v>
      </c>
      <c r="C155" s="42" t="s">
        <v>80</v>
      </c>
      <c r="D155" s="42" t="s">
        <v>0</v>
      </c>
      <c r="E155" s="15" t="s">
        <v>41</v>
      </c>
      <c r="F155" s="15" t="s">
        <v>62</v>
      </c>
      <c r="G155" s="5"/>
    </row>
    <row r="156" spans="1:7" x14ac:dyDescent="0.3">
      <c r="A156" s="7">
        <v>3</v>
      </c>
      <c r="B156" s="43">
        <v>1</v>
      </c>
      <c r="C156" s="43" t="s">
        <v>81</v>
      </c>
      <c r="D156" s="43" t="s">
        <v>40</v>
      </c>
      <c r="E156" s="4" t="s">
        <v>10</v>
      </c>
      <c r="F156" s="4" t="s">
        <v>62</v>
      </c>
      <c r="G156" s="5"/>
    </row>
    <row r="157" spans="1:7" x14ac:dyDescent="0.3">
      <c r="A157" s="15">
        <v>3</v>
      </c>
      <c r="B157" s="43">
        <v>1</v>
      </c>
      <c r="C157" s="43" t="s">
        <v>81</v>
      </c>
      <c r="D157" s="43" t="s">
        <v>29</v>
      </c>
      <c r="E157" s="15" t="s">
        <v>42</v>
      </c>
      <c r="F157" s="15"/>
      <c r="G157" s="50" t="s">
        <v>127</v>
      </c>
    </row>
    <row r="158" spans="1:7" x14ac:dyDescent="0.3">
      <c r="A158" s="12">
        <v>3</v>
      </c>
      <c r="B158" s="42">
        <v>1</v>
      </c>
      <c r="C158" s="42" t="s">
        <v>81</v>
      </c>
      <c r="D158" s="42" t="s">
        <v>0</v>
      </c>
      <c r="E158" s="15" t="s">
        <v>41</v>
      </c>
      <c r="F158" s="15" t="s">
        <v>66</v>
      </c>
      <c r="G158" s="5"/>
    </row>
    <row r="159" spans="1:7" x14ac:dyDescent="0.3">
      <c r="A159" s="7">
        <v>3</v>
      </c>
      <c r="B159" s="43">
        <v>2</v>
      </c>
      <c r="C159" s="43" t="s">
        <v>80</v>
      </c>
      <c r="D159" s="43" t="s">
        <v>40</v>
      </c>
      <c r="E159" s="4" t="s">
        <v>10</v>
      </c>
      <c r="F159" s="4" t="s">
        <v>66</v>
      </c>
      <c r="G159" s="5"/>
    </row>
    <row r="160" spans="1:7" x14ac:dyDescent="0.3">
      <c r="A160" s="12">
        <v>3</v>
      </c>
      <c r="B160" s="40">
        <v>1</v>
      </c>
      <c r="C160" s="40" t="s">
        <v>81</v>
      </c>
      <c r="D160" s="40" t="s">
        <v>29</v>
      </c>
      <c r="E160" s="15" t="s">
        <v>42</v>
      </c>
      <c r="F160" s="15" t="s">
        <v>58</v>
      </c>
      <c r="G160" s="5"/>
    </row>
    <row r="161" spans="1:14" x14ac:dyDescent="0.3">
      <c r="A161" s="7">
        <v>3</v>
      </c>
      <c r="B161" s="43">
        <v>2</v>
      </c>
      <c r="C161" s="43" t="s">
        <v>80</v>
      </c>
      <c r="D161" s="43" t="s">
        <v>0</v>
      </c>
      <c r="E161" s="4" t="s">
        <v>41</v>
      </c>
      <c r="F161" s="4" t="s">
        <v>65</v>
      </c>
      <c r="G161" s="5"/>
    </row>
    <row r="162" spans="1:14" x14ac:dyDescent="0.3">
      <c r="A162" s="12">
        <v>3</v>
      </c>
      <c r="B162" s="42">
        <v>2</v>
      </c>
      <c r="C162" s="42" t="s">
        <v>80</v>
      </c>
      <c r="D162" s="42" t="s">
        <v>40</v>
      </c>
      <c r="E162" s="15" t="s">
        <v>9</v>
      </c>
      <c r="F162" s="15" t="s">
        <v>65</v>
      </c>
      <c r="G162" s="5"/>
    </row>
    <row r="163" spans="1:14" x14ac:dyDescent="0.3">
      <c r="A163" s="7">
        <v>3</v>
      </c>
      <c r="B163" s="40">
        <v>1</v>
      </c>
      <c r="C163" s="40" t="s">
        <v>81</v>
      </c>
      <c r="D163" s="40" t="s">
        <v>29</v>
      </c>
      <c r="E163" s="4" t="s">
        <v>42</v>
      </c>
      <c r="F163" s="4" t="s">
        <v>52</v>
      </c>
      <c r="G163" s="5"/>
    </row>
    <row r="164" spans="1:14" x14ac:dyDescent="0.3">
      <c r="A164" s="12">
        <v>3</v>
      </c>
      <c r="B164" s="40">
        <v>1</v>
      </c>
      <c r="C164" s="40" t="s">
        <v>81</v>
      </c>
      <c r="D164" s="40" t="s">
        <v>29</v>
      </c>
      <c r="E164" s="15" t="s">
        <v>42</v>
      </c>
      <c r="F164" s="15" t="s">
        <v>57</v>
      </c>
      <c r="G164" s="5"/>
    </row>
    <row r="165" spans="1:14" x14ac:dyDescent="0.3">
      <c r="A165" s="7">
        <v>3</v>
      </c>
      <c r="B165" s="43">
        <v>2</v>
      </c>
      <c r="C165" s="43" t="s">
        <v>80</v>
      </c>
      <c r="D165" s="43" t="s">
        <v>0</v>
      </c>
      <c r="E165" s="4" t="s">
        <v>41</v>
      </c>
      <c r="F165" s="4" t="s">
        <v>59</v>
      </c>
      <c r="G165" s="5"/>
    </row>
    <row r="166" spans="1:14" x14ac:dyDescent="0.3">
      <c r="A166" s="12">
        <v>3</v>
      </c>
      <c r="B166" s="42">
        <v>2</v>
      </c>
      <c r="C166" s="42" t="s">
        <v>80</v>
      </c>
      <c r="D166" s="42" t="s">
        <v>40</v>
      </c>
      <c r="E166" s="15" t="s">
        <v>9</v>
      </c>
      <c r="F166" s="15" t="s">
        <v>59</v>
      </c>
      <c r="G166" s="5"/>
    </row>
    <row r="167" spans="1:14" x14ac:dyDescent="0.3">
      <c r="A167" s="7">
        <v>3</v>
      </c>
      <c r="B167" s="43">
        <v>2</v>
      </c>
      <c r="C167" s="43" t="s">
        <v>80</v>
      </c>
      <c r="D167" s="43" t="s">
        <v>0</v>
      </c>
      <c r="E167" s="4" t="s">
        <v>41</v>
      </c>
      <c r="F167" s="4" t="s">
        <v>61</v>
      </c>
      <c r="G167" s="5"/>
      <c r="N167" t="s">
        <v>19</v>
      </c>
    </row>
    <row r="168" spans="1:14" x14ac:dyDescent="0.3">
      <c r="A168" s="12">
        <v>3</v>
      </c>
      <c r="B168" s="42">
        <v>1</v>
      </c>
      <c r="C168" s="42" t="s">
        <v>81</v>
      </c>
      <c r="D168" s="42" t="s">
        <v>40</v>
      </c>
      <c r="E168" s="15" t="s">
        <v>10</v>
      </c>
      <c r="F168" s="15" t="s">
        <v>61</v>
      </c>
      <c r="G168" s="5"/>
    </row>
    <row r="169" spans="1:14" x14ac:dyDescent="0.3">
      <c r="A169" s="7">
        <v>3</v>
      </c>
      <c r="B169" s="40">
        <v>2</v>
      </c>
      <c r="C169" s="40" t="s">
        <v>80</v>
      </c>
      <c r="D169" s="40" t="s">
        <v>29</v>
      </c>
      <c r="E169" s="4" t="s">
        <v>42</v>
      </c>
      <c r="F169" s="4" t="s">
        <v>55</v>
      </c>
      <c r="G169" s="5"/>
    </row>
    <row r="170" spans="1:14" x14ac:dyDescent="0.3">
      <c r="A170" s="15">
        <v>3</v>
      </c>
      <c r="B170" s="43">
        <v>1</v>
      </c>
      <c r="C170" s="43" t="s">
        <v>81</v>
      </c>
      <c r="D170" s="43" t="s">
        <v>29</v>
      </c>
      <c r="E170" s="15" t="s">
        <v>42</v>
      </c>
      <c r="F170" s="15"/>
      <c r="G170" s="50" t="s">
        <v>127</v>
      </c>
    </row>
    <row r="171" spans="1:14" x14ac:dyDescent="0.3">
      <c r="A171" s="12">
        <v>3</v>
      </c>
      <c r="B171" s="42">
        <v>1</v>
      </c>
      <c r="C171" s="42" t="s">
        <v>81</v>
      </c>
      <c r="D171" s="42" t="s">
        <v>0</v>
      </c>
      <c r="E171" s="15" t="s">
        <v>41</v>
      </c>
      <c r="F171" s="15" t="s">
        <v>63</v>
      </c>
      <c r="G171" s="5"/>
    </row>
    <row r="172" spans="1:14" x14ac:dyDescent="0.3">
      <c r="A172" s="7">
        <v>3</v>
      </c>
      <c r="B172" s="43">
        <v>1</v>
      </c>
      <c r="C172" s="43" t="s">
        <v>81</v>
      </c>
      <c r="D172" s="43" t="s">
        <v>40</v>
      </c>
      <c r="E172" s="4" t="s">
        <v>9</v>
      </c>
      <c r="F172" s="4" t="s">
        <v>63</v>
      </c>
      <c r="G172" s="5"/>
    </row>
    <row r="173" spans="1:14" x14ac:dyDescent="0.3">
      <c r="A173" s="12">
        <v>3</v>
      </c>
      <c r="B173" s="40">
        <v>2</v>
      </c>
      <c r="C173" s="40" t="s">
        <v>80</v>
      </c>
      <c r="D173" s="40" t="s">
        <v>29</v>
      </c>
      <c r="E173" s="15" t="s">
        <v>42</v>
      </c>
      <c r="F173" s="15" t="s">
        <v>51</v>
      </c>
      <c r="G173" s="5"/>
    </row>
    <row r="174" spans="1:14" x14ac:dyDescent="0.3">
      <c r="A174" s="7">
        <v>3</v>
      </c>
      <c r="B174" s="43">
        <v>1</v>
      </c>
      <c r="C174" s="43" t="s">
        <v>81</v>
      </c>
      <c r="D174" s="43" t="s">
        <v>0</v>
      </c>
      <c r="E174" s="4" t="s">
        <v>41</v>
      </c>
      <c r="F174" s="4" t="s">
        <v>60</v>
      </c>
      <c r="G174" s="5"/>
    </row>
    <row r="175" spans="1:14" x14ac:dyDescent="0.3">
      <c r="A175" s="12">
        <v>3</v>
      </c>
      <c r="B175" s="42">
        <v>1</v>
      </c>
      <c r="C175" s="42" t="s">
        <v>81</v>
      </c>
      <c r="D175" s="42" t="s">
        <v>40</v>
      </c>
      <c r="E175" s="15" t="s">
        <v>9</v>
      </c>
      <c r="F175" s="15" t="s">
        <v>60</v>
      </c>
      <c r="G175" s="5"/>
    </row>
    <row r="176" spans="1:14" x14ac:dyDescent="0.3">
      <c r="A176" s="7">
        <v>3</v>
      </c>
      <c r="B176" s="40">
        <v>1</v>
      </c>
      <c r="C176" s="40" t="s">
        <v>81</v>
      </c>
      <c r="D176" s="40" t="s">
        <v>29</v>
      </c>
      <c r="E176" s="4" t="s">
        <v>42</v>
      </c>
      <c r="F176" s="4" t="s">
        <v>53</v>
      </c>
      <c r="G176" s="5"/>
    </row>
    <row r="177" spans="1:7" x14ac:dyDescent="0.3">
      <c r="A177" s="4">
        <v>4</v>
      </c>
      <c r="B177" s="41">
        <v>2</v>
      </c>
      <c r="C177" s="41" t="s">
        <v>80</v>
      </c>
      <c r="D177" s="41" t="s">
        <v>29</v>
      </c>
      <c r="E177" s="4" t="s">
        <v>42</v>
      </c>
      <c r="F177" s="4" t="s">
        <v>64</v>
      </c>
      <c r="G177" s="5"/>
    </row>
    <row r="178" spans="1:7" x14ac:dyDescent="0.3">
      <c r="A178" s="15">
        <v>4</v>
      </c>
      <c r="B178" s="42">
        <v>1</v>
      </c>
      <c r="C178" s="42" t="s">
        <v>81</v>
      </c>
      <c r="D178" s="42" t="s">
        <v>0</v>
      </c>
      <c r="E178" s="15" t="s">
        <v>41</v>
      </c>
      <c r="F178" s="15" t="s">
        <v>72</v>
      </c>
      <c r="G178" s="5"/>
    </row>
    <row r="179" spans="1:7" x14ac:dyDescent="0.3">
      <c r="A179" s="4">
        <v>4</v>
      </c>
      <c r="B179" s="43">
        <v>1</v>
      </c>
      <c r="C179" s="43" t="s">
        <v>81</v>
      </c>
      <c r="D179" s="43" t="s">
        <v>40</v>
      </c>
      <c r="E179" s="4" t="s">
        <v>9</v>
      </c>
      <c r="F179" s="4" t="s">
        <v>72</v>
      </c>
      <c r="G179" s="5"/>
    </row>
    <row r="180" spans="1:7" x14ac:dyDescent="0.3">
      <c r="A180" s="15">
        <v>4</v>
      </c>
      <c r="B180" s="42">
        <v>1</v>
      </c>
      <c r="C180" s="42" t="s">
        <v>81</v>
      </c>
      <c r="D180" s="42" t="s">
        <v>0</v>
      </c>
      <c r="E180" s="15" t="s">
        <v>41</v>
      </c>
      <c r="F180" s="15" t="s">
        <v>67</v>
      </c>
      <c r="G180" s="5"/>
    </row>
    <row r="181" spans="1:7" x14ac:dyDescent="0.3">
      <c r="A181" s="4">
        <v>4</v>
      </c>
      <c r="B181" s="43">
        <v>2</v>
      </c>
      <c r="C181" s="43" t="s">
        <v>80</v>
      </c>
      <c r="D181" s="43" t="s">
        <v>40</v>
      </c>
      <c r="E181" s="4" t="s">
        <v>10</v>
      </c>
      <c r="F181" s="4" t="s">
        <v>67</v>
      </c>
      <c r="G181" s="5"/>
    </row>
    <row r="182" spans="1:7" x14ac:dyDescent="0.3">
      <c r="A182" s="15">
        <v>4</v>
      </c>
      <c r="B182" s="41">
        <v>1</v>
      </c>
      <c r="C182" s="41" t="s">
        <v>81</v>
      </c>
      <c r="D182" s="41" t="s">
        <v>29</v>
      </c>
      <c r="E182" s="15" t="s">
        <v>42</v>
      </c>
      <c r="F182" s="15" t="s">
        <v>62</v>
      </c>
      <c r="G182" s="5"/>
    </row>
    <row r="183" spans="1:7" x14ac:dyDescent="0.3">
      <c r="A183" s="4">
        <v>4</v>
      </c>
      <c r="B183" s="43">
        <v>2</v>
      </c>
      <c r="C183" s="43" t="s">
        <v>80</v>
      </c>
      <c r="D183" s="43" t="s">
        <v>0</v>
      </c>
      <c r="E183" s="4" t="s">
        <v>41</v>
      </c>
      <c r="F183" s="4" t="s">
        <v>71</v>
      </c>
      <c r="G183" s="5"/>
    </row>
    <row r="184" spans="1:7" x14ac:dyDescent="0.3">
      <c r="A184" s="15">
        <v>4</v>
      </c>
      <c r="B184" s="42">
        <v>2</v>
      </c>
      <c r="C184" s="42" t="s">
        <v>80</v>
      </c>
      <c r="D184" s="42" t="s">
        <v>40</v>
      </c>
      <c r="E184" s="15" t="s">
        <v>9</v>
      </c>
      <c r="F184" s="15" t="s">
        <v>71</v>
      </c>
      <c r="G184" s="5"/>
    </row>
    <row r="185" spans="1:7" x14ac:dyDescent="0.3">
      <c r="A185" s="4">
        <v>4</v>
      </c>
      <c r="B185" s="43">
        <v>2</v>
      </c>
      <c r="C185" s="43" t="s">
        <v>80</v>
      </c>
      <c r="D185" s="43" t="s">
        <v>0</v>
      </c>
      <c r="E185" s="4" t="s">
        <v>41</v>
      </c>
      <c r="F185" s="4" t="s">
        <v>73</v>
      </c>
      <c r="G185" s="5"/>
    </row>
    <row r="186" spans="1:7" x14ac:dyDescent="0.3">
      <c r="A186" s="15">
        <v>4</v>
      </c>
      <c r="B186" s="42">
        <v>1</v>
      </c>
      <c r="C186" s="42" t="s">
        <v>81</v>
      </c>
      <c r="D186" s="42" t="s">
        <v>40</v>
      </c>
      <c r="E186" s="15" t="s">
        <v>10</v>
      </c>
      <c r="F186" s="15" t="s">
        <v>73</v>
      </c>
      <c r="G186" s="5"/>
    </row>
    <row r="187" spans="1:7" x14ac:dyDescent="0.3">
      <c r="A187" s="4">
        <v>4</v>
      </c>
      <c r="B187" s="41">
        <v>2</v>
      </c>
      <c r="C187" s="41" t="s">
        <v>80</v>
      </c>
      <c r="D187" s="41" t="s">
        <v>29</v>
      </c>
      <c r="E187" s="4" t="s">
        <v>42</v>
      </c>
      <c r="F187" s="4" t="s">
        <v>66</v>
      </c>
      <c r="G187" s="5"/>
    </row>
    <row r="188" spans="1:7" x14ac:dyDescent="0.3">
      <c r="A188" s="15">
        <v>4</v>
      </c>
      <c r="B188" s="42">
        <v>1</v>
      </c>
      <c r="C188" s="42" t="s">
        <v>81</v>
      </c>
      <c r="D188" s="42" t="s">
        <v>0</v>
      </c>
      <c r="E188" s="15" t="s">
        <v>41</v>
      </c>
      <c r="F188" s="15" t="s">
        <v>68</v>
      </c>
      <c r="G188" s="5"/>
    </row>
    <row r="189" spans="1:7" x14ac:dyDescent="0.3">
      <c r="A189" s="4">
        <v>4</v>
      </c>
      <c r="B189" s="43">
        <v>2</v>
      </c>
      <c r="C189" s="43" t="s">
        <v>80</v>
      </c>
      <c r="D189" s="43" t="s">
        <v>40</v>
      </c>
      <c r="E189" s="4" t="s">
        <v>10</v>
      </c>
      <c r="F189" s="4" t="s">
        <v>68</v>
      </c>
      <c r="G189" s="5"/>
    </row>
    <row r="190" spans="1:7" x14ac:dyDescent="0.3">
      <c r="A190" s="15">
        <v>4</v>
      </c>
      <c r="B190" s="41">
        <v>1</v>
      </c>
      <c r="C190" s="41" t="s">
        <v>81</v>
      </c>
      <c r="D190" s="41" t="s">
        <v>29</v>
      </c>
      <c r="E190" s="15" t="s">
        <v>42</v>
      </c>
      <c r="F190" s="15" t="s">
        <v>65</v>
      </c>
      <c r="G190" s="5"/>
    </row>
    <row r="191" spans="1:7" x14ac:dyDescent="0.3">
      <c r="A191" s="4">
        <v>4</v>
      </c>
      <c r="B191" s="41">
        <v>2</v>
      </c>
      <c r="C191" s="41" t="s">
        <v>80</v>
      </c>
      <c r="D191" s="41" t="s">
        <v>29</v>
      </c>
      <c r="E191" s="4" t="s">
        <v>42</v>
      </c>
      <c r="F191" s="4" t="s">
        <v>59</v>
      </c>
      <c r="G191" s="5"/>
    </row>
    <row r="192" spans="1:7" x14ac:dyDescent="0.3">
      <c r="A192" s="15">
        <v>4</v>
      </c>
      <c r="B192" s="42">
        <v>2</v>
      </c>
      <c r="C192" s="42" t="s">
        <v>80</v>
      </c>
      <c r="D192" s="42" t="s">
        <v>0</v>
      </c>
      <c r="E192" s="15" t="s">
        <v>41</v>
      </c>
      <c r="F192" s="15" t="s">
        <v>74</v>
      </c>
      <c r="G192" s="5"/>
    </row>
    <row r="193" spans="1:7" x14ac:dyDescent="0.3">
      <c r="A193" s="4">
        <v>4</v>
      </c>
      <c r="B193" s="43">
        <v>2</v>
      </c>
      <c r="C193" s="43" t="s">
        <v>80</v>
      </c>
      <c r="D193" s="43" t="s">
        <v>40</v>
      </c>
      <c r="E193" s="4" t="s">
        <v>9</v>
      </c>
      <c r="F193" s="4" t="s">
        <v>74</v>
      </c>
      <c r="G193" s="5"/>
    </row>
    <row r="194" spans="1:7" x14ac:dyDescent="0.3">
      <c r="A194" s="15">
        <v>4</v>
      </c>
      <c r="B194" s="41">
        <v>1</v>
      </c>
      <c r="C194" s="41" t="s">
        <v>81</v>
      </c>
      <c r="D194" s="41" t="s">
        <v>29</v>
      </c>
      <c r="E194" s="15" t="s">
        <v>42</v>
      </c>
      <c r="F194" s="15" t="s">
        <v>61</v>
      </c>
      <c r="G194" s="5"/>
    </row>
    <row r="195" spans="1:7" x14ac:dyDescent="0.3">
      <c r="A195" s="4">
        <v>4</v>
      </c>
      <c r="B195" s="41">
        <v>2</v>
      </c>
      <c r="C195" s="41" t="s">
        <v>80</v>
      </c>
      <c r="D195" s="41" t="s">
        <v>29</v>
      </c>
      <c r="E195" s="4" t="s">
        <v>42</v>
      </c>
      <c r="F195" s="4" t="s">
        <v>63</v>
      </c>
      <c r="G195" s="5"/>
    </row>
    <row r="196" spans="1:7" x14ac:dyDescent="0.3">
      <c r="A196" s="4">
        <v>4</v>
      </c>
      <c r="B196" s="43">
        <v>2</v>
      </c>
      <c r="C196" s="43" t="s">
        <v>80</v>
      </c>
      <c r="D196" s="43" t="s">
        <v>0</v>
      </c>
      <c r="E196" s="4" t="s">
        <v>41</v>
      </c>
      <c r="F196" s="4" t="s">
        <v>69</v>
      </c>
      <c r="G196" s="5"/>
    </row>
    <row r="197" spans="1:7" x14ac:dyDescent="0.3">
      <c r="A197" s="15">
        <v>4</v>
      </c>
      <c r="B197" s="42">
        <v>1</v>
      </c>
      <c r="C197" s="42" t="s">
        <v>81</v>
      </c>
      <c r="D197" s="42" t="s">
        <v>40</v>
      </c>
      <c r="E197" s="15" t="s">
        <v>10</v>
      </c>
      <c r="F197" s="15" t="s">
        <v>69</v>
      </c>
      <c r="G197" s="5"/>
    </row>
    <row r="198" spans="1:7" x14ac:dyDescent="0.3">
      <c r="A198" s="4">
        <v>4</v>
      </c>
      <c r="B198" s="43">
        <v>1</v>
      </c>
      <c r="C198" s="43" t="s">
        <v>81</v>
      </c>
      <c r="D198" s="43" t="s">
        <v>0</v>
      </c>
      <c r="E198" s="4" t="s">
        <v>41</v>
      </c>
      <c r="F198" s="4" t="s">
        <v>70</v>
      </c>
      <c r="G198" s="5"/>
    </row>
    <row r="199" spans="1:7" x14ac:dyDescent="0.3">
      <c r="A199" s="15">
        <v>4</v>
      </c>
      <c r="B199" s="42">
        <v>1</v>
      </c>
      <c r="C199" s="42" t="s">
        <v>81</v>
      </c>
      <c r="D199" s="42" t="s">
        <v>40</v>
      </c>
      <c r="E199" s="15" t="s">
        <v>9</v>
      </c>
      <c r="F199" s="15" t="s">
        <v>70</v>
      </c>
      <c r="G199" s="5"/>
    </row>
    <row r="200" spans="1:7" x14ac:dyDescent="0.3">
      <c r="A200" s="15">
        <v>4</v>
      </c>
      <c r="B200" s="41">
        <v>2</v>
      </c>
      <c r="C200" s="41" t="s">
        <v>80</v>
      </c>
      <c r="D200" s="41" t="s">
        <v>29</v>
      </c>
      <c r="E200" s="15" t="s">
        <v>42</v>
      </c>
      <c r="F200" s="15" t="s">
        <v>60</v>
      </c>
      <c r="G200" s="5"/>
    </row>
    <row r="201" spans="1:7" x14ac:dyDescent="0.3">
      <c r="A201" t="s">
        <v>25</v>
      </c>
      <c r="G201" s="5"/>
    </row>
    <row r="202" spans="1:7" x14ac:dyDescent="0.3">
      <c r="A202" s="12">
        <v>1</v>
      </c>
      <c r="B202" s="38">
        <v>2</v>
      </c>
      <c r="C202" s="44" t="s">
        <v>80</v>
      </c>
      <c r="D202" s="46" t="s">
        <v>29</v>
      </c>
      <c r="E202" s="15" t="s">
        <v>42</v>
      </c>
      <c r="F202" s="15" t="s">
        <v>71</v>
      </c>
      <c r="G202" s="5"/>
    </row>
    <row r="203" spans="1:7" x14ac:dyDescent="0.3">
      <c r="A203" s="7">
        <v>1</v>
      </c>
      <c r="B203" s="37">
        <v>2</v>
      </c>
      <c r="C203" s="37" t="s">
        <v>80</v>
      </c>
      <c r="D203" s="43" t="s">
        <v>0</v>
      </c>
      <c r="E203" s="4" t="s">
        <v>41</v>
      </c>
      <c r="F203" s="4" t="s">
        <v>49</v>
      </c>
      <c r="G203" s="5"/>
    </row>
    <row r="204" spans="1:7" x14ac:dyDescent="0.3">
      <c r="A204" s="12">
        <v>1</v>
      </c>
      <c r="B204" s="36">
        <v>2</v>
      </c>
      <c r="C204" s="36" t="s">
        <v>80</v>
      </c>
      <c r="D204" s="42" t="s">
        <v>40</v>
      </c>
      <c r="E204" s="15" t="s">
        <v>9</v>
      </c>
      <c r="F204" s="15" t="s">
        <v>49</v>
      </c>
      <c r="G204" s="5"/>
    </row>
    <row r="205" spans="1:7" x14ac:dyDescent="0.3">
      <c r="A205" s="7">
        <v>1</v>
      </c>
      <c r="B205" s="38">
        <v>1</v>
      </c>
      <c r="C205" s="38" t="s">
        <v>81</v>
      </c>
      <c r="D205" s="46" t="s">
        <v>29</v>
      </c>
      <c r="E205" s="4" t="s">
        <v>42</v>
      </c>
      <c r="F205" s="4" t="s">
        <v>69</v>
      </c>
      <c r="G205" s="5"/>
    </row>
    <row r="206" spans="1:7" x14ac:dyDescent="0.3">
      <c r="A206" s="12">
        <v>1</v>
      </c>
      <c r="B206" s="38">
        <v>1</v>
      </c>
      <c r="C206" s="38" t="s">
        <v>81</v>
      </c>
      <c r="D206" s="46" t="s">
        <v>29</v>
      </c>
      <c r="E206" s="15" t="s">
        <v>42</v>
      </c>
      <c r="F206" s="15" t="s">
        <v>73</v>
      </c>
      <c r="G206" s="5"/>
    </row>
    <row r="207" spans="1:7" x14ac:dyDescent="0.3">
      <c r="A207" s="7">
        <v>1</v>
      </c>
      <c r="B207" s="37">
        <v>2</v>
      </c>
      <c r="C207" s="37" t="s">
        <v>80</v>
      </c>
      <c r="D207" s="43" t="s">
        <v>0</v>
      </c>
      <c r="E207" s="4" t="s">
        <v>41</v>
      </c>
      <c r="F207" s="4" t="s">
        <v>48</v>
      </c>
      <c r="G207" s="5"/>
    </row>
    <row r="208" spans="1:7" x14ac:dyDescent="0.3">
      <c r="A208" s="12">
        <v>1</v>
      </c>
      <c r="B208" s="36">
        <v>2</v>
      </c>
      <c r="C208" s="36" t="s">
        <v>80</v>
      </c>
      <c r="D208" s="42" t="s">
        <v>40</v>
      </c>
      <c r="E208" s="15" t="s">
        <v>9</v>
      </c>
      <c r="F208" s="15" t="s">
        <v>48</v>
      </c>
      <c r="G208" s="5"/>
    </row>
    <row r="209" spans="1:7" x14ac:dyDescent="0.3">
      <c r="A209" s="7">
        <v>1</v>
      </c>
      <c r="B209" s="37">
        <v>2</v>
      </c>
      <c r="C209" s="37" t="s">
        <v>80</v>
      </c>
      <c r="D209" s="43" t="s">
        <v>0</v>
      </c>
      <c r="E209" s="4" t="s">
        <v>41</v>
      </c>
      <c r="F209" s="4" t="s">
        <v>50</v>
      </c>
      <c r="G209" s="5"/>
    </row>
    <row r="210" spans="1:7" x14ac:dyDescent="0.3">
      <c r="A210" s="12">
        <v>1</v>
      </c>
      <c r="B210" s="36">
        <v>1</v>
      </c>
      <c r="C210" s="36" t="s">
        <v>81</v>
      </c>
      <c r="D210" s="42" t="s">
        <v>40</v>
      </c>
      <c r="E210" s="15" t="s">
        <v>10</v>
      </c>
      <c r="F210" s="15" t="s">
        <v>50</v>
      </c>
      <c r="G210" s="5"/>
    </row>
    <row r="211" spans="1:7" x14ac:dyDescent="0.3">
      <c r="A211" s="7">
        <v>1</v>
      </c>
      <c r="B211" s="38">
        <v>1</v>
      </c>
      <c r="C211" s="38" t="s">
        <v>81</v>
      </c>
      <c r="D211" s="46" t="s">
        <v>29</v>
      </c>
      <c r="E211" s="4" t="s">
        <v>42</v>
      </c>
      <c r="F211" s="4" t="s">
        <v>70</v>
      </c>
      <c r="G211" s="5"/>
    </row>
    <row r="212" spans="1:7" x14ac:dyDescent="0.3">
      <c r="A212" s="12">
        <v>1</v>
      </c>
      <c r="B212" s="36">
        <v>1</v>
      </c>
      <c r="C212" s="36" t="s">
        <v>81</v>
      </c>
      <c r="D212" s="42" t="s">
        <v>0</v>
      </c>
      <c r="E212" s="15" t="s">
        <v>41</v>
      </c>
      <c r="F212" s="15" t="s">
        <v>43</v>
      </c>
      <c r="G212" s="5"/>
    </row>
    <row r="213" spans="1:7" x14ac:dyDescent="0.3">
      <c r="A213" s="7">
        <v>1</v>
      </c>
      <c r="B213" s="37">
        <v>2</v>
      </c>
      <c r="C213" s="37" t="s">
        <v>80</v>
      </c>
      <c r="D213" s="43" t="s">
        <v>40</v>
      </c>
      <c r="E213" s="4" t="s">
        <v>10</v>
      </c>
      <c r="F213" s="4" t="s">
        <v>43</v>
      </c>
      <c r="G213" s="5"/>
    </row>
    <row r="214" spans="1:7" x14ac:dyDescent="0.3">
      <c r="A214" s="12">
        <v>1</v>
      </c>
      <c r="B214" s="36">
        <v>2</v>
      </c>
      <c r="C214" s="36" t="s">
        <v>80</v>
      </c>
      <c r="D214" s="42" t="s">
        <v>0</v>
      </c>
      <c r="E214" s="15" t="s">
        <v>41</v>
      </c>
      <c r="F214" s="15" t="s">
        <v>46</v>
      </c>
      <c r="G214" s="5"/>
    </row>
    <row r="215" spans="1:7" x14ac:dyDescent="0.3">
      <c r="A215" s="7">
        <v>1</v>
      </c>
      <c r="B215" s="37">
        <v>1</v>
      </c>
      <c r="C215" s="37" t="s">
        <v>81</v>
      </c>
      <c r="D215" s="43" t="s">
        <v>40</v>
      </c>
      <c r="E215" s="4" t="s">
        <v>10</v>
      </c>
      <c r="F215" s="4" t="s">
        <v>46</v>
      </c>
      <c r="G215" s="5"/>
    </row>
    <row r="216" spans="1:7" x14ac:dyDescent="0.3">
      <c r="A216" s="12">
        <v>1</v>
      </c>
      <c r="B216" s="38">
        <v>1</v>
      </c>
      <c r="C216" s="44" t="s">
        <v>81</v>
      </c>
      <c r="D216" s="46" t="s">
        <v>29</v>
      </c>
      <c r="E216" s="15" t="s">
        <v>42</v>
      </c>
      <c r="F216" s="15" t="s">
        <v>74</v>
      </c>
      <c r="G216" s="5"/>
    </row>
    <row r="217" spans="1:7" x14ac:dyDescent="0.3">
      <c r="A217" s="7">
        <v>1</v>
      </c>
      <c r="B217" s="38">
        <v>2</v>
      </c>
      <c r="C217" s="38" t="s">
        <v>80</v>
      </c>
      <c r="D217" s="46" t="s">
        <v>29</v>
      </c>
      <c r="E217" s="4" t="s">
        <v>42</v>
      </c>
      <c r="F217" s="4" t="s">
        <v>67</v>
      </c>
      <c r="G217" s="5"/>
    </row>
    <row r="218" spans="1:7" x14ac:dyDescent="0.3">
      <c r="A218" s="12">
        <v>1</v>
      </c>
      <c r="B218" s="36">
        <v>1</v>
      </c>
      <c r="C218" s="36" t="s">
        <v>81</v>
      </c>
      <c r="D218" s="42" t="s">
        <v>0</v>
      </c>
      <c r="E218" s="15" t="s">
        <v>41</v>
      </c>
      <c r="F218" s="15" t="s">
        <v>44</v>
      </c>
      <c r="G218" s="5"/>
    </row>
    <row r="219" spans="1:7" x14ac:dyDescent="0.3">
      <c r="A219" s="7">
        <v>1</v>
      </c>
      <c r="B219" s="37">
        <v>1</v>
      </c>
      <c r="C219" s="36" t="s">
        <v>81</v>
      </c>
      <c r="D219" s="43" t="s">
        <v>40</v>
      </c>
      <c r="E219" s="4" t="s">
        <v>9</v>
      </c>
      <c r="F219" s="4" t="s">
        <v>44</v>
      </c>
      <c r="G219" s="5"/>
    </row>
    <row r="220" spans="1:7" x14ac:dyDescent="0.3">
      <c r="A220" s="12">
        <v>1</v>
      </c>
      <c r="B220" s="38">
        <v>1</v>
      </c>
      <c r="C220" s="44" t="s">
        <v>81</v>
      </c>
      <c r="D220" s="46" t="s">
        <v>29</v>
      </c>
      <c r="E220" s="15" t="s">
        <v>42</v>
      </c>
      <c r="F220" s="15" t="s">
        <v>72</v>
      </c>
      <c r="G220" s="5"/>
    </row>
    <row r="221" spans="1:7" x14ac:dyDescent="0.3">
      <c r="A221" s="7">
        <v>1</v>
      </c>
      <c r="B221" s="38">
        <v>2</v>
      </c>
      <c r="C221" s="38" t="s">
        <v>80</v>
      </c>
      <c r="D221" s="46" t="s">
        <v>29</v>
      </c>
      <c r="E221" s="4" t="s">
        <v>42</v>
      </c>
      <c r="F221" s="4" t="s">
        <v>68</v>
      </c>
      <c r="G221" s="5"/>
    </row>
    <row r="222" spans="1:7" x14ac:dyDescent="0.3">
      <c r="A222" s="12">
        <v>1</v>
      </c>
      <c r="B222" s="36">
        <v>1</v>
      </c>
      <c r="C222" s="36" t="s">
        <v>81</v>
      </c>
      <c r="D222" s="42" t="s">
        <v>0</v>
      </c>
      <c r="E222" s="15" t="s">
        <v>41</v>
      </c>
      <c r="F222" s="15" t="s">
        <v>45</v>
      </c>
      <c r="G222" s="5"/>
    </row>
    <row r="223" spans="1:7" x14ac:dyDescent="0.3">
      <c r="A223" s="7">
        <v>1</v>
      </c>
      <c r="B223" s="37">
        <v>1</v>
      </c>
      <c r="C223" s="36" t="s">
        <v>81</v>
      </c>
      <c r="D223" s="43" t="s">
        <v>40</v>
      </c>
      <c r="E223" s="4" t="s">
        <v>9</v>
      </c>
      <c r="F223" s="4" t="s">
        <v>45</v>
      </c>
      <c r="G223" s="5"/>
    </row>
    <row r="224" spans="1:7" x14ac:dyDescent="0.3">
      <c r="A224" s="12">
        <v>1</v>
      </c>
      <c r="B224" s="36">
        <v>1</v>
      </c>
      <c r="C224" s="36" t="s">
        <v>81</v>
      </c>
      <c r="D224" s="42" t="s">
        <v>0</v>
      </c>
      <c r="E224" s="15" t="s">
        <v>41</v>
      </c>
      <c r="F224" s="15" t="s">
        <v>47</v>
      </c>
      <c r="G224" s="5"/>
    </row>
    <row r="225" spans="1:7" x14ac:dyDescent="0.3">
      <c r="A225" s="7">
        <v>1</v>
      </c>
      <c r="B225" s="37">
        <v>2</v>
      </c>
      <c r="C225" s="37" t="s">
        <v>80</v>
      </c>
      <c r="D225" s="43" t="s">
        <v>40</v>
      </c>
      <c r="E225" s="4" t="s">
        <v>10</v>
      </c>
      <c r="F225" s="4" t="s">
        <v>47</v>
      </c>
      <c r="G225" s="5"/>
    </row>
    <row r="226" spans="1:7" x14ac:dyDescent="0.3">
      <c r="A226" s="4">
        <v>2</v>
      </c>
      <c r="B226" s="39">
        <v>1</v>
      </c>
      <c r="C226" s="39" t="s">
        <v>81</v>
      </c>
      <c r="D226" s="39" t="s">
        <v>29</v>
      </c>
      <c r="E226" s="4" t="s">
        <v>42</v>
      </c>
      <c r="F226" s="4" t="s">
        <v>49</v>
      </c>
      <c r="G226" s="5"/>
    </row>
    <row r="227" spans="1:7" x14ac:dyDescent="0.3">
      <c r="A227" s="4">
        <v>2</v>
      </c>
      <c r="B227" s="37">
        <v>1</v>
      </c>
      <c r="C227" s="43" t="s">
        <v>81</v>
      </c>
      <c r="D227" s="43" t="s">
        <v>0</v>
      </c>
      <c r="E227" s="4" t="s">
        <v>41</v>
      </c>
      <c r="F227" s="4" t="s">
        <v>52</v>
      </c>
      <c r="G227" s="5"/>
    </row>
    <row r="228" spans="1:7" x14ac:dyDescent="0.3">
      <c r="A228" s="15">
        <v>2</v>
      </c>
      <c r="B228" s="36">
        <v>1</v>
      </c>
      <c r="C228" s="42" t="s">
        <v>81</v>
      </c>
      <c r="D228" s="42" t="s">
        <v>40</v>
      </c>
      <c r="E228" s="15" t="s">
        <v>9</v>
      </c>
      <c r="F228" s="15" t="s">
        <v>52</v>
      </c>
      <c r="G228" s="5"/>
    </row>
    <row r="229" spans="1:7" x14ac:dyDescent="0.3">
      <c r="A229" s="15">
        <v>2</v>
      </c>
      <c r="B229" s="39">
        <v>2</v>
      </c>
      <c r="C229" s="39" t="s">
        <v>80</v>
      </c>
      <c r="D229" s="39" t="s">
        <v>29</v>
      </c>
      <c r="E229" s="15" t="s">
        <v>42</v>
      </c>
      <c r="F229" s="15" t="s">
        <v>48</v>
      </c>
      <c r="G229" s="5"/>
    </row>
    <row r="230" spans="1:7" x14ac:dyDescent="0.3">
      <c r="A230" s="4">
        <v>2</v>
      </c>
      <c r="B230" s="37">
        <v>1</v>
      </c>
      <c r="C230" s="37" t="s">
        <v>81</v>
      </c>
      <c r="D230" s="43" t="s">
        <v>0</v>
      </c>
      <c r="E230" s="4" t="s">
        <v>41</v>
      </c>
      <c r="F230" s="4" t="s">
        <v>53</v>
      </c>
      <c r="G230" s="5"/>
    </row>
    <row r="231" spans="1:7" x14ac:dyDescent="0.3">
      <c r="A231" s="15">
        <v>2</v>
      </c>
      <c r="B231" s="36">
        <v>1</v>
      </c>
      <c r="C231" s="36" t="s">
        <v>81</v>
      </c>
      <c r="D231" s="42" t="s">
        <v>40</v>
      </c>
      <c r="E231" s="15" t="s">
        <v>9</v>
      </c>
      <c r="F231" s="15" t="s">
        <v>53</v>
      </c>
      <c r="G231" s="5"/>
    </row>
    <row r="232" spans="1:7" x14ac:dyDescent="0.3">
      <c r="A232" s="4">
        <v>2</v>
      </c>
      <c r="B232" s="37">
        <v>1</v>
      </c>
      <c r="C232" s="37" t="s">
        <v>81</v>
      </c>
      <c r="D232" s="43" t="s">
        <v>0</v>
      </c>
      <c r="E232" s="4" t="s">
        <v>41</v>
      </c>
      <c r="F232" s="4" t="s">
        <v>55</v>
      </c>
      <c r="G232" s="5"/>
    </row>
    <row r="233" spans="1:7" x14ac:dyDescent="0.3">
      <c r="A233" s="15">
        <v>2</v>
      </c>
      <c r="B233" s="36">
        <v>2</v>
      </c>
      <c r="C233" s="36" t="s">
        <v>80</v>
      </c>
      <c r="D233" s="42" t="s">
        <v>40</v>
      </c>
      <c r="E233" s="15" t="s">
        <v>10</v>
      </c>
      <c r="F233" s="15" t="s">
        <v>55</v>
      </c>
      <c r="G233" s="5"/>
    </row>
    <row r="234" spans="1:7" x14ac:dyDescent="0.3">
      <c r="A234" s="4">
        <v>2</v>
      </c>
      <c r="B234" s="39">
        <v>2</v>
      </c>
      <c r="C234" s="39" t="s">
        <v>80</v>
      </c>
      <c r="D234" s="39" t="s">
        <v>29</v>
      </c>
      <c r="E234" s="4" t="s">
        <v>42</v>
      </c>
      <c r="F234" s="4" t="s">
        <v>50</v>
      </c>
      <c r="G234" s="5"/>
    </row>
    <row r="235" spans="1:7" x14ac:dyDescent="0.3">
      <c r="A235" s="15">
        <v>2</v>
      </c>
      <c r="B235" s="36">
        <v>2</v>
      </c>
      <c r="C235" s="36" t="s">
        <v>80</v>
      </c>
      <c r="D235" s="42" t="s">
        <v>0</v>
      </c>
      <c r="E235" s="15" t="s">
        <v>41</v>
      </c>
      <c r="F235" s="15" t="s">
        <v>54</v>
      </c>
      <c r="G235" s="5"/>
    </row>
    <row r="236" spans="1:7" x14ac:dyDescent="0.3">
      <c r="A236" s="4">
        <v>2</v>
      </c>
      <c r="B236" s="37">
        <v>1</v>
      </c>
      <c r="C236" s="37" t="s">
        <v>81</v>
      </c>
      <c r="D236" s="43" t="s">
        <v>40</v>
      </c>
      <c r="E236" s="4" t="s">
        <v>10</v>
      </c>
      <c r="F236" s="4" t="s">
        <v>54</v>
      </c>
      <c r="G236" s="5"/>
    </row>
    <row r="237" spans="1:7" x14ac:dyDescent="0.3">
      <c r="A237" s="15">
        <v>2</v>
      </c>
      <c r="B237" s="39">
        <v>1</v>
      </c>
      <c r="C237" s="39" t="s">
        <v>81</v>
      </c>
      <c r="D237" s="39" t="s">
        <v>29</v>
      </c>
      <c r="E237" s="15" t="s">
        <v>42</v>
      </c>
      <c r="F237" s="15" t="s">
        <v>43</v>
      </c>
      <c r="G237" s="5"/>
    </row>
    <row r="238" spans="1:7" x14ac:dyDescent="0.3">
      <c r="A238" s="15">
        <v>2</v>
      </c>
      <c r="B238" s="36">
        <v>1</v>
      </c>
      <c r="C238" s="36" t="s">
        <v>81</v>
      </c>
      <c r="D238" s="42" t="s">
        <v>0</v>
      </c>
      <c r="E238" s="15" t="s">
        <v>41</v>
      </c>
      <c r="F238" s="15" t="s">
        <v>51</v>
      </c>
      <c r="G238" s="5"/>
    </row>
    <row r="239" spans="1:7" x14ac:dyDescent="0.3">
      <c r="A239" s="4">
        <v>2</v>
      </c>
      <c r="B239" s="37">
        <v>2</v>
      </c>
      <c r="C239" s="37" t="s">
        <v>80</v>
      </c>
      <c r="D239" s="43" t="s">
        <v>40</v>
      </c>
      <c r="E239" s="4" t="s">
        <v>10</v>
      </c>
      <c r="F239" s="4" t="s">
        <v>51</v>
      </c>
      <c r="G239" s="5"/>
    </row>
    <row r="240" spans="1:7" x14ac:dyDescent="0.3">
      <c r="A240" s="4">
        <v>2</v>
      </c>
      <c r="B240" s="39">
        <v>1</v>
      </c>
      <c r="C240" s="39" t="s">
        <v>81</v>
      </c>
      <c r="D240" s="39" t="s">
        <v>29</v>
      </c>
      <c r="E240" s="4" t="s">
        <v>42</v>
      </c>
      <c r="F240" s="4" t="s">
        <v>46</v>
      </c>
      <c r="G240" s="5"/>
    </row>
    <row r="241" spans="1:7" x14ac:dyDescent="0.3">
      <c r="A241" s="15">
        <v>2</v>
      </c>
      <c r="B241" s="36">
        <v>2</v>
      </c>
      <c r="C241" s="36" t="s">
        <v>80</v>
      </c>
      <c r="D241" s="42" t="s">
        <v>0</v>
      </c>
      <c r="E241" s="15" t="s">
        <v>41</v>
      </c>
      <c r="F241" s="15" t="s">
        <v>57</v>
      </c>
      <c r="G241" s="5"/>
    </row>
    <row r="242" spans="1:7" x14ac:dyDescent="0.3">
      <c r="A242" s="4">
        <v>2</v>
      </c>
      <c r="B242" s="37">
        <v>2</v>
      </c>
      <c r="C242" s="37" t="s">
        <v>80</v>
      </c>
      <c r="D242" s="43" t="s">
        <v>40</v>
      </c>
      <c r="E242" s="4" t="s">
        <v>9</v>
      </c>
      <c r="F242" s="4" t="s">
        <v>57</v>
      </c>
      <c r="G242" s="5"/>
    </row>
    <row r="243" spans="1:7" x14ac:dyDescent="0.3">
      <c r="A243" s="15">
        <v>2</v>
      </c>
      <c r="B243" s="39">
        <v>1</v>
      </c>
      <c r="C243" s="39" t="s">
        <v>81</v>
      </c>
      <c r="D243" s="39" t="s">
        <v>29</v>
      </c>
      <c r="E243" s="15" t="s">
        <v>42</v>
      </c>
      <c r="F243" s="15" t="s">
        <v>44</v>
      </c>
      <c r="G243" s="5"/>
    </row>
    <row r="244" spans="1:7" x14ac:dyDescent="0.3">
      <c r="A244" s="4">
        <v>2</v>
      </c>
      <c r="B244" s="37">
        <v>2</v>
      </c>
      <c r="C244" s="37" t="s">
        <v>80</v>
      </c>
      <c r="D244" s="43" t="s">
        <v>0</v>
      </c>
      <c r="E244" s="4" t="s">
        <v>41</v>
      </c>
      <c r="F244" s="4" t="s">
        <v>58</v>
      </c>
      <c r="G244" s="5"/>
    </row>
    <row r="245" spans="1:7" x14ac:dyDescent="0.3">
      <c r="A245" s="15">
        <v>2</v>
      </c>
      <c r="B245" s="36">
        <v>2</v>
      </c>
      <c r="C245" s="36" t="s">
        <v>80</v>
      </c>
      <c r="D245" s="42" t="s">
        <v>40</v>
      </c>
      <c r="E245" s="15" t="s">
        <v>9</v>
      </c>
      <c r="F245" s="15" t="s">
        <v>58</v>
      </c>
      <c r="G245" s="5"/>
    </row>
    <row r="246" spans="1:7" x14ac:dyDescent="0.3">
      <c r="A246" s="4">
        <v>2</v>
      </c>
      <c r="B246" s="39">
        <v>1</v>
      </c>
      <c r="C246" s="39" t="s">
        <v>81</v>
      </c>
      <c r="D246" s="39" t="s">
        <v>29</v>
      </c>
      <c r="E246" s="4" t="s">
        <v>42</v>
      </c>
      <c r="F246" s="4" t="s">
        <v>45</v>
      </c>
      <c r="G246" s="5"/>
    </row>
    <row r="247" spans="1:7" x14ac:dyDescent="0.3">
      <c r="A247" s="15">
        <v>2</v>
      </c>
      <c r="B247" s="39">
        <v>2</v>
      </c>
      <c r="C247" s="39" t="s">
        <v>80</v>
      </c>
      <c r="D247" s="39" t="s">
        <v>29</v>
      </c>
      <c r="E247" s="15" t="s">
        <v>42</v>
      </c>
      <c r="F247" s="15" t="s">
        <v>47</v>
      </c>
      <c r="G247" s="5"/>
    </row>
    <row r="248" spans="1:7" x14ac:dyDescent="0.3">
      <c r="A248" s="4">
        <v>2</v>
      </c>
      <c r="B248" s="37">
        <v>2</v>
      </c>
      <c r="C248" s="37" t="s">
        <v>80</v>
      </c>
      <c r="D248" s="43" t="s">
        <v>0</v>
      </c>
      <c r="E248" s="4" t="s">
        <v>41</v>
      </c>
      <c r="F248" s="4" t="s">
        <v>56</v>
      </c>
      <c r="G248" s="5"/>
    </row>
    <row r="249" spans="1:7" x14ac:dyDescent="0.3">
      <c r="A249" s="15">
        <v>2</v>
      </c>
      <c r="B249" s="36">
        <v>1</v>
      </c>
      <c r="C249" s="36" t="s">
        <v>81</v>
      </c>
      <c r="D249" s="42" t="s">
        <v>40</v>
      </c>
      <c r="E249" s="15" t="s">
        <v>10</v>
      </c>
      <c r="F249" s="15" t="s">
        <v>56</v>
      </c>
      <c r="G249" s="5"/>
    </row>
    <row r="250" spans="1:7" x14ac:dyDescent="0.3">
      <c r="A250" s="12">
        <v>3</v>
      </c>
      <c r="B250" s="40">
        <v>1</v>
      </c>
      <c r="C250" s="40" t="s">
        <v>81</v>
      </c>
      <c r="D250" s="40" t="s">
        <v>29</v>
      </c>
      <c r="E250" s="15" t="s">
        <v>42</v>
      </c>
      <c r="F250" s="15" t="s">
        <v>52</v>
      </c>
      <c r="G250" s="5"/>
    </row>
    <row r="251" spans="1:7" x14ac:dyDescent="0.3">
      <c r="A251" s="12">
        <v>3</v>
      </c>
      <c r="B251" s="36">
        <v>1</v>
      </c>
      <c r="C251" s="36" t="s">
        <v>81</v>
      </c>
      <c r="D251" s="42" t="s">
        <v>0</v>
      </c>
      <c r="E251" s="15" t="s">
        <v>41</v>
      </c>
      <c r="F251" s="15" t="s">
        <v>62</v>
      </c>
      <c r="G251" s="5"/>
    </row>
    <row r="252" spans="1:7" x14ac:dyDescent="0.3">
      <c r="A252" s="7">
        <v>3</v>
      </c>
      <c r="B252" s="37">
        <v>2</v>
      </c>
      <c r="C252" s="37" t="s">
        <v>80</v>
      </c>
      <c r="D252" s="43" t="s">
        <v>40</v>
      </c>
      <c r="E252" s="4" t="s">
        <v>10</v>
      </c>
      <c r="F252" s="4" t="s">
        <v>62</v>
      </c>
      <c r="G252" s="5"/>
    </row>
    <row r="253" spans="1:7" x14ac:dyDescent="0.3">
      <c r="A253" s="7">
        <v>3</v>
      </c>
      <c r="B253" s="40">
        <v>2</v>
      </c>
      <c r="C253" s="40" t="s">
        <v>80</v>
      </c>
      <c r="D253" s="40" t="s">
        <v>29</v>
      </c>
      <c r="E253" s="4" t="s">
        <v>42</v>
      </c>
      <c r="F253" s="4" t="s">
        <v>53</v>
      </c>
      <c r="G253" s="5"/>
    </row>
    <row r="254" spans="1:7" x14ac:dyDescent="0.3">
      <c r="A254" s="12">
        <v>3</v>
      </c>
      <c r="B254" s="36">
        <v>2</v>
      </c>
      <c r="C254" s="36" t="s">
        <v>80</v>
      </c>
      <c r="D254" s="42" t="s">
        <v>0</v>
      </c>
      <c r="E254" s="15" t="s">
        <v>41</v>
      </c>
      <c r="F254" s="15" t="s">
        <v>65</v>
      </c>
      <c r="G254" s="5"/>
    </row>
    <row r="255" spans="1:7" x14ac:dyDescent="0.3">
      <c r="A255" s="7">
        <v>3</v>
      </c>
      <c r="B255" s="37">
        <v>1</v>
      </c>
      <c r="C255" s="37" t="s">
        <v>81</v>
      </c>
      <c r="D255" s="43" t="s">
        <v>40</v>
      </c>
      <c r="E255" s="4" t="s">
        <v>10</v>
      </c>
      <c r="F255" s="4" t="s">
        <v>65</v>
      </c>
      <c r="G255" s="5"/>
    </row>
    <row r="256" spans="1:7" x14ac:dyDescent="0.3">
      <c r="A256" s="12">
        <v>3</v>
      </c>
      <c r="B256" s="36">
        <v>1</v>
      </c>
      <c r="C256" s="36" t="s">
        <v>81</v>
      </c>
      <c r="D256" s="42" t="s">
        <v>0</v>
      </c>
      <c r="E256" s="15" t="s">
        <v>41</v>
      </c>
      <c r="F256" s="15" t="s">
        <v>60</v>
      </c>
      <c r="G256" s="5"/>
    </row>
    <row r="257" spans="1:7" x14ac:dyDescent="0.3">
      <c r="A257" s="7">
        <v>3</v>
      </c>
      <c r="B257" s="37">
        <v>2</v>
      </c>
      <c r="C257" s="37" t="s">
        <v>80</v>
      </c>
      <c r="D257" s="43" t="s">
        <v>40</v>
      </c>
      <c r="E257" s="4" t="s">
        <v>10</v>
      </c>
      <c r="F257" s="4" t="s">
        <v>60</v>
      </c>
      <c r="G257" s="5"/>
    </row>
    <row r="258" spans="1:7" x14ac:dyDescent="0.3">
      <c r="A258" s="12">
        <v>3</v>
      </c>
      <c r="B258" s="40">
        <v>1</v>
      </c>
      <c r="C258" s="40" t="s">
        <v>81</v>
      </c>
      <c r="D258" s="40" t="s">
        <v>29</v>
      </c>
      <c r="E258" s="15" t="s">
        <v>42</v>
      </c>
      <c r="F258" s="15" t="s">
        <v>55</v>
      </c>
      <c r="G258" s="5"/>
    </row>
    <row r="259" spans="1:7" x14ac:dyDescent="0.3">
      <c r="A259" s="7">
        <v>3</v>
      </c>
      <c r="B259" s="37">
        <v>2</v>
      </c>
      <c r="C259" s="37" t="s">
        <v>80</v>
      </c>
      <c r="D259" s="43" t="s">
        <v>0</v>
      </c>
      <c r="E259" s="4" t="s">
        <v>41</v>
      </c>
      <c r="F259" s="4" t="s">
        <v>64</v>
      </c>
      <c r="G259" s="5"/>
    </row>
    <row r="260" spans="1:7" x14ac:dyDescent="0.3">
      <c r="A260" s="12">
        <v>3</v>
      </c>
      <c r="B260" s="36">
        <v>2</v>
      </c>
      <c r="C260" s="36" t="s">
        <v>80</v>
      </c>
      <c r="D260" s="42" t="s">
        <v>40</v>
      </c>
      <c r="E260" s="15" t="s">
        <v>9</v>
      </c>
      <c r="F260" s="15" t="s">
        <v>64</v>
      </c>
      <c r="G260" s="5"/>
    </row>
    <row r="261" spans="1:7" x14ac:dyDescent="0.3">
      <c r="A261" s="7">
        <v>3</v>
      </c>
      <c r="B261" s="40">
        <v>1</v>
      </c>
      <c r="C261" s="40" t="s">
        <v>81</v>
      </c>
      <c r="D261" s="40" t="s">
        <v>29</v>
      </c>
      <c r="E261" s="4" t="s">
        <v>42</v>
      </c>
      <c r="F261" s="4" t="s">
        <v>57</v>
      </c>
      <c r="G261" s="5"/>
    </row>
    <row r="262" spans="1:7" x14ac:dyDescent="0.3">
      <c r="A262" s="12">
        <v>3</v>
      </c>
      <c r="B262" s="36">
        <v>2</v>
      </c>
      <c r="C262" s="36" t="s">
        <v>80</v>
      </c>
      <c r="D262" s="42" t="s">
        <v>0</v>
      </c>
      <c r="E262" s="15" t="s">
        <v>41</v>
      </c>
      <c r="F262" s="15" t="s">
        <v>66</v>
      </c>
      <c r="G262" s="5"/>
    </row>
    <row r="263" spans="1:7" x14ac:dyDescent="0.3">
      <c r="A263" s="7">
        <v>3</v>
      </c>
      <c r="B263" s="37">
        <v>2</v>
      </c>
      <c r="C263" s="37" t="s">
        <v>80</v>
      </c>
      <c r="D263" s="43" t="s">
        <v>40</v>
      </c>
      <c r="E263" s="4" t="s">
        <v>9</v>
      </c>
      <c r="F263" s="4" t="s">
        <v>66</v>
      </c>
      <c r="G263" s="5"/>
    </row>
    <row r="264" spans="1:7" x14ac:dyDescent="0.3">
      <c r="A264" s="12">
        <v>3</v>
      </c>
      <c r="B264" s="36">
        <v>2</v>
      </c>
      <c r="C264" s="36" t="s">
        <v>80</v>
      </c>
      <c r="D264" s="42" t="s">
        <v>0</v>
      </c>
      <c r="E264" s="15" t="s">
        <v>41</v>
      </c>
      <c r="F264" s="15" t="s">
        <v>63</v>
      </c>
      <c r="G264" s="5"/>
    </row>
    <row r="265" spans="1:7" x14ac:dyDescent="0.3">
      <c r="A265" s="7">
        <v>3</v>
      </c>
      <c r="B265" s="37">
        <v>1</v>
      </c>
      <c r="C265" s="37" t="s">
        <v>81</v>
      </c>
      <c r="D265" s="43" t="s">
        <v>40</v>
      </c>
      <c r="E265" s="4" t="s">
        <v>10</v>
      </c>
      <c r="F265" s="4" t="s">
        <v>63</v>
      </c>
      <c r="G265" s="5"/>
    </row>
    <row r="266" spans="1:7" x14ac:dyDescent="0.3">
      <c r="A266" s="12">
        <v>3</v>
      </c>
      <c r="B266" s="40">
        <v>2</v>
      </c>
      <c r="C266" s="40" t="s">
        <v>80</v>
      </c>
      <c r="D266" s="40" t="s">
        <v>29</v>
      </c>
      <c r="E266" s="15" t="s">
        <v>42</v>
      </c>
      <c r="F266" s="15" t="s">
        <v>51</v>
      </c>
      <c r="G266" s="5"/>
    </row>
    <row r="267" spans="1:7" x14ac:dyDescent="0.3">
      <c r="A267" s="7">
        <v>3</v>
      </c>
      <c r="B267" s="40">
        <v>1</v>
      </c>
      <c r="C267" s="40" t="s">
        <v>81</v>
      </c>
      <c r="D267" s="40" t="s">
        <v>29</v>
      </c>
      <c r="E267" s="4" t="s">
        <v>42</v>
      </c>
      <c r="F267" s="4" t="s">
        <v>54</v>
      </c>
      <c r="G267" s="5"/>
    </row>
    <row r="268" spans="1:7" x14ac:dyDescent="0.3">
      <c r="A268" s="7">
        <v>3</v>
      </c>
      <c r="B268" s="37">
        <v>1</v>
      </c>
      <c r="C268" s="37" t="s">
        <v>81</v>
      </c>
      <c r="D268" s="43" t="s">
        <v>0</v>
      </c>
      <c r="E268" s="4" t="s">
        <v>41</v>
      </c>
      <c r="F268" s="4" t="s">
        <v>61</v>
      </c>
      <c r="G268" s="5"/>
    </row>
    <row r="269" spans="1:7" x14ac:dyDescent="0.3">
      <c r="A269" s="12">
        <v>3</v>
      </c>
      <c r="B269" s="36">
        <v>1</v>
      </c>
      <c r="C269" s="36" t="s">
        <v>81</v>
      </c>
      <c r="D269" s="42" t="s">
        <v>40</v>
      </c>
      <c r="E269" s="15" t="s">
        <v>9</v>
      </c>
      <c r="F269" s="15" t="s">
        <v>61</v>
      </c>
      <c r="G269" s="5"/>
    </row>
    <row r="270" spans="1:7" x14ac:dyDescent="0.3">
      <c r="A270" s="7">
        <v>3</v>
      </c>
      <c r="B270" s="40">
        <v>2</v>
      </c>
      <c r="C270" s="40" t="s">
        <v>80</v>
      </c>
      <c r="D270" s="40" t="s">
        <v>29</v>
      </c>
      <c r="E270" s="4" t="s">
        <v>42</v>
      </c>
      <c r="F270" s="4" t="s">
        <v>56</v>
      </c>
      <c r="G270" s="5"/>
    </row>
    <row r="271" spans="1:7" x14ac:dyDescent="0.3">
      <c r="A271" s="12">
        <v>3</v>
      </c>
      <c r="B271" s="36">
        <v>1</v>
      </c>
      <c r="C271" s="36" t="s">
        <v>81</v>
      </c>
      <c r="D271" s="42" t="s">
        <v>0</v>
      </c>
      <c r="E271" s="15" t="s">
        <v>41</v>
      </c>
      <c r="F271" s="15" t="s">
        <v>59</v>
      </c>
      <c r="G271" s="5"/>
    </row>
    <row r="272" spans="1:7" x14ac:dyDescent="0.3">
      <c r="A272" s="7">
        <v>3</v>
      </c>
      <c r="B272" s="37">
        <v>1</v>
      </c>
      <c r="C272" s="37" t="s">
        <v>81</v>
      </c>
      <c r="D272" s="43" t="s">
        <v>40</v>
      </c>
      <c r="E272" s="4" t="s">
        <v>9</v>
      </c>
      <c r="F272" s="4" t="s">
        <v>59</v>
      </c>
      <c r="G272" s="5"/>
    </row>
    <row r="273" spans="1:7" x14ac:dyDescent="0.3">
      <c r="A273" s="12">
        <v>3</v>
      </c>
      <c r="B273" s="40">
        <v>2</v>
      </c>
      <c r="C273" s="40" t="s">
        <v>80</v>
      </c>
      <c r="D273" s="40" t="s">
        <v>29</v>
      </c>
      <c r="E273" s="15" t="s">
        <v>42</v>
      </c>
      <c r="F273" s="15" t="s">
        <v>58</v>
      </c>
      <c r="G273" s="5"/>
    </row>
    <row r="274" spans="1:7" x14ac:dyDescent="0.3">
      <c r="A274" s="4">
        <v>4</v>
      </c>
      <c r="B274" s="37">
        <v>1</v>
      </c>
      <c r="C274" s="37" t="s">
        <v>81</v>
      </c>
      <c r="D274" s="43" t="s">
        <v>0</v>
      </c>
      <c r="E274" s="4" t="s">
        <v>41</v>
      </c>
      <c r="F274" s="4" t="s">
        <v>71</v>
      </c>
      <c r="G274" s="5"/>
    </row>
    <row r="275" spans="1:7" x14ac:dyDescent="0.3">
      <c r="A275" s="15">
        <v>4</v>
      </c>
      <c r="B275" s="36">
        <v>1</v>
      </c>
      <c r="C275" s="36" t="s">
        <v>81</v>
      </c>
      <c r="D275" s="42" t="s">
        <v>40</v>
      </c>
      <c r="E275" s="15" t="s">
        <v>9</v>
      </c>
      <c r="F275" s="15" t="s">
        <v>71</v>
      </c>
      <c r="G275" s="5"/>
    </row>
    <row r="276" spans="1:7" x14ac:dyDescent="0.3">
      <c r="A276" s="4">
        <v>4</v>
      </c>
      <c r="B276" s="41">
        <v>2</v>
      </c>
      <c r="C276" s="41" t="s">
        <v>80</v>
      </c>
      <c r="D276" s="41" t="s">
        <v>29</v>
      </c>
      <c r="E276" s="4" t="s">
        <v>42</v>
      </c>
      <c r="F276" s="4" t="s">
        <v>62</v>
      </c>
      <c r="G276" s="5"/>
    </row>
    <row r="277" spans="1:7" x14ac:dyDescent="0.3">
      <c r="A277" s="15">
        <v>4</v>
      </c>
      <c r="B277" s="36">
        <v>1</v>
      </c>
      <c r="C277" s="36" t="s">
        <v>81</v>
      </c>
      <c r="D277" s="42" t="s">
        <v>0</v>
      </c>
      <c r="E277" s="15" t="s">
        <v>41</v>
      </c>
      <c r="F277" s="15" t="s">
        <v>69</v>
      </c>
      <c r="G277" s="5"/>
    </row>
    <row r="278" spans="1:7" x14ac:dyDescent="0.3">
      <c r="A278" s="4">
        <v>4</v>
      </c>
      <c r="B278" s="37">
        <v>2</v>
      </c>
      <c r="C278" s="37" t="s">
        <v>80</v>
      </c>
      <c r="D278" s="43" t="s">
        <v>40</v>
      </c>
      <c r="E278" s="4" t="s">
        <v>10</v>
      </c>
      <c r="F278" s="4" t="s">
        <v>69</v>
      </c>
      <c r="G278" s="5"/>
    </row>
    <row r="279" spans="1:7" x14ac:dyDescent="0.3">
      <c r="A279" s="15">
        <v>4</v>
      </c>
      <c r="B279" s="36">
        <v>2</v>
      </c>
      <c r="C279" s="36" t="s">
        <v>80</v>
      </c>
      <c r="D279" s="42" t="s">
        <v>0</v>
      </c>
      <c r="E279" s="15" t="s">
        <v>41</v>
      </c>
      <c r="F279" s="15" t="s">
        <v>73</v>
      </c>
      <c r="G279" s="5"/>
    </row>
    <row r="280" spans="1:7" x14ac:dyDescent="0.3">
      <c r="A280" s="4">
        <v>4</v>
      </c>
      <c r="B280" s="37">
        <v>2</v>
      </c>
      <c r="C280" s="37" t="s">
        <v>80</v>
      </c>
      <c r="D280" s="43" t="s">
        <v>40</v>
      </c>
      <c r="E280" s="4" t="s">
        <v>9</v>
      </c>
      <c r="F280" s="4" t="s">
        <v>73</v>
      </c>
      <c r="G280" s="5"/>
    </row>
    <row r="281" spans="1:7" x14ac:dyDescent="0.3">
      <c r="A281" s="15">
        <v>4</v>
      </c>
      <c r="B281" s="41">
        <v>1</v>
      </c>
      <c r="C281" s="41" t="s">
        <v>81</v>
      </c>
      <c r="D281" s="41" t="s">
        <v>29</v>
      </c>
      <c r="E281" s="15" t="s">
        <v>42</v>
      </c>
      <c r="F281" s="15" t="s">
        <v>65</v>
      </c>
      <c r="G281" s="5"/>
    </row>
    <row r="282" spans="1:7" x14ac:dyDescent="0.3">
      <c r="A282" s="4">
        <v>4</v>
      </c>
      <c r="B282" s="41">
        <v>2</v>
      </c>
      <c r="C282" s="41" t="s">
        <v>80</v>
      </c>
      <c r="D282" s="41" t="s">
        <v>29</v>
      </c>
      <c r="E282" s="4" t="s">
        <v>42</v>
      </c>
      <c r="F282" s="4" t="s">
        <v>60</v>
      </c>
      <c r="G282" s="5"/>
    </row>
    <row r="283" spans="1:7" x14ac:dyDescent="0.3">
      <c r="A283" s="15">
        <v>4</v>
      </c>
      <c r="B283" s="36">
        <v>2</v>
      </c>
      <c r="C283" s="36" t="s">
        <v>80</v>
      </c>
      <c r="D283" s="42" t="s">
        <v>0</v>
      </c>
      <c r="E283" s="15" t="s">
        <v>41</v>
      </c>
      <c r="F283" s="15" t="s">
        <v>70</v>
      </c>
      <c r="G283" s="5"/>
    </row>
    <row r="284" spans="1:7" x14ac:dyDescent="0.3">
      <c r="A284" s="4">
        <v>4</v>
      </c>
      <c r="B284" s="37">
        <v>1</v>
      </c>
      <c r="C284" s="37" t="s">
        <v>81</v>
      </c>
      <c r="D284" s="43" t="s">
        <v>40</v>
      </c>
      <c r="E284" s="4" t="s">
        <v>10</v>
      </c>
      <c r="F284" s="4" t="s">
        <v>70</v>
      </c>
      <c r="G284" s="5"/>
    </row>
    <row r="285" spans="1:7" x14ac:dyDescent="0.3">
      <c r="A285" s="15">
        <v>4</v>
      </c>
      <c r="B285" s="36">
        <v>1</v>
      </c>
      <c r="C285" s="36" t="s">
        <v>81</v>
      </c>
      <c r="D285" s="42" t="s">
        <v>0</v>
      </c>
      <c r="E285" s="15" t="s">
        <v>41</v>
      </c>
      <c r="F285" s="15" t="s">
        <v>74</v>
      </c>
      <c r="G285" s="5"/>
    </row>
    <row r="286" spans="1:7" x14ac:dyDescent="0.3">
      <c r="A286" s="4">
        <v>4</v>
      </c>
      <c r="B286" s="37">
        <v>2</v>
      </c>
      <c r="C286" s="37" t="s">
        <v>80</v>
      </c>
      <c r="D286" s="43" t="s">
        <v>40</v>
      </c>
      <c r="E286" s="4" t="s">
        <v>10</v>
      </c>
      <c r="F286" s="4" t="s">
        <v>74</v>
      </c>
      <c r="G286" s="5"/>
    </row>
    <row r="287" spans="1:7" x14ac:dyDescent="0.3">
      <c r="A287" s="15">
        <v>4</v>
      </c>
      <c r="B287" s="41">
        <v>1</v>
      </c>
      <c r="C287" s="41" t="s">
        <v>81</v>
      </c>
      <c r="D287" s="41" t="s">
        <v>29</v>
      </c>
      <c r="E287" s="15" t="s">
        <v>42</v>
      </c>
      <c r="F287" s="15" t="s">
        <v>64</v>
      </c>
      <c r="G287" s="5"/>
    </row>
    <row r="288" spans="1:7" x14ac:dyDescent="0.3">
      <c r="A288" s="4">
        <v>4</v>
      </c>
      <c r="B288" s="37">
        <v>2</v>
      </c>
      <c r="C288" s="37" t="s">
        <v>80</v>
      </c>
      <c r="D288" s="43" t="s">
        <v>0</v>
      </c>
      <c r="E288" s="4" t="s">
        <v>41</v>
      </c>
      <c r="F288" s="4" t="s">
        <v>67</v>
      </c>
      <c r="G288" s="5"/>
    </row>
    <row r="289" spans="1:7" x14ac:dyDescent="0.3">
      <c r="A289" s="15">
        <v>4</v>
      </c>
      <c r="B289" s="36">
        <v>2</v>
      </c>
      <c r="C289" s="36" t="s">
        <v>80</v>
      </c>
      <c r="D289" s="42" t="s">
        <v>40</v>
      </c>
      <c r="E289" s="15" t="s">
        <v>9</v>
      </c>
      <c r="F289" s="15" t="s">
        <v>67</v>
      </c>
      <c r="G289" s="5"/>
    </row>
    <row r="290" spans="1:7" x14ac:dyDescent="0.3">
      <c r="A290" s="4">
        <v>4</v>
      </c>
      <c r="B290" s="41">
        <v>1</v>
      </c>
      <c r="C290" s="41" t="s">
        <v>81</v>
      </c>
      <c r="D290" s="41" t="s">
        <v>29</v>
      </c>
      <c r="E290" s="4" t="s">
        <v>42</v>
      </c>
      <c r="F290" s="4" t="s">
        <v>66</v>
      </c>
      <c r="G290" s="5"/>
    </row>
    <row r="291" spans="1:7" x14ac:dyDescent="0.3">
      <c r="A291" s="15">
        <v>4</v>
      </c>
      <c r="B291" s="41">
        <v>2</v>
      </c>
      <c r="C291" s="41" t="s">
        <v>80</v>
      </c>
      <c r="D291" s="41" t="s">
        <v>29</v>
      </c>
      <c r="E291" s="15" t="s">
        <v>42</v>
      </c>
      <c r="F291" s="15" t="s">
        <v>59</v>
      </c>
      <c r="G291" s="5"/>
    </row>
    <row r="292" spans="1:7" x14ac:dyDescent="0.3">
      <c r="A292" s="15">
        <v>4</v>
      </c>
      <c r="B292" s="36">
        <v>2</v>
      </c>
      <c r="C292" s="36" t="s">
        <v>80</v>
      </c>
      <c r="D292" s="42" t="s">
        <v>0</v>
      </c>
      <c r="E292" s="15" t="s">
        <v>41</v>
      </c>
      <c r="F292" s="15" t="s">
        <v>72</v>
      </c>
      <c r="G292" s="5"/>
    </row>
    <row r="293" spans="1:7" x14ac:dyDescent="0.3">
      <c r="A293" s="4">
        <v>4</v>
      </c>
      <c r="B293" s="37">
        <v>1</v>
      </c>
      <c r="C293" s="37" t="s">
        <v>81</v>
      </c>
      <c r="D293" s="43" t="s">
        <v>40</v>
      </c>
      <c r="E293" s="4" t="s">
        <v>10</v>
      </c>
      <c r="F293" s="4" t="s">
        <v>72</v>
      </c>
      <c r="G293" s="5"/>
    </row>
    <row r="294" spans="1:7" x14ac:dyDescent="0.3">
      <c r="A294" s="15">
        <v>4</v>
      </c>
      <c r="B294" s="41">
        <v>2</v>
      </c>
      <c r="C294" s="41" t="s">
        <v>80</v>
      </c>
      <c r="D294" s="41" t="s">
        <v>29</v>
      </c>
      <c r="E294" s="15" t="s">
        <v>42</v>
      </c>
      <c r="F294" s="15" t="s">
        <v>63</v>
      </c>
      <c r="G294" s="5"/>
    </row>
    <row r="295" spans="1:7" x14ac:dyDescent="0.3">
      <c r="A295" s="4">
        <v>4</v>
      </c>
      <c r="B295" s="41">
        <v>1</v>
      </c>
      <c r="C295" s="41" t="s">
        <v>81</v>
      </c>
      <c r="D295" s="41" t="s">
        <v>29</v>
      </c>
      <c r="E295" s="4" t="s">
        <v>42</v>
      </c>
      <c r="F295" s="4" t="s">
        <v>61</v>
      </c>
      <c r="G295" s="5"/>
    </row>
    <row r="296" spans="1:7" x14ac:dyDescent="0.3">
      <c r="A296" s="15">
        <v>4</v>
      </c>
      <c r="B296" s="36">
        <v>1</v>
      </c>
      <c r="C296" s="36" t="s">
        <v>81</v>
      </c>
      <c r="D296" s="42" t="s">
        <v>0</v>
      </c>
      <c r="E296" s="15" t="s">
        <v>41</v>
      </c>
      <c r="F296" s="15" t="s">
        <v>68</v>
      </c>
      <c r="G296" s="5"/>
    </row>
    <row r="297" spans="1:7" x14ac:dyDescent="0.3">
      <c r="A297" s="4">
        <v>4</v>
      </c>
      <c r="B297" s="37">
        <v>1</v>
      </c>
      <c r="C297" s="37" t="s">
        <v>81</v>
      </c>
      <c r="D297" s="43" t="s">
        <v>40</v>
      </c>
      <c r="E297" s="4" t="s">
        <v>9</v>
      </c>
      <c r="F297" s="4" t="s">
        <v>68</v>
      </c>
      <c r="G297" s="5"/>
    </row>
    <row r="298" spans="1:7" x14ac:dyDescent="0.3">
      <c r="A298" t="s">
        <v>25</v>
      </c>
      <c r="G298" s="5"/>
    </row>
    <row r="299" spans="1:7" x14ac:dyDescent="0.3">
      <c r="A299" s="12">
        <v>1</v>
      </c>
      <c r="B299" s="38">
        <v>2</v>
      </c>
      <c r="C299" s="44" t="s">
        <v>80</v>
      </c>
      <c r="D299" s="46" t="s">
        <v>29</v>
      </c>
      <c r="E299" s="15" t="s">
        <v>42</v>
      </c>
      <c r="F299" s="15" t="s">
        <v>69</v>
      </c>
      <c r="G299" s="5"/>
    </row>
    <row r="300" spans="1:7" x14ac:dyDescent="0.3">
      <c r="A300" s="7">
        <v>1</v>
      </c>
      <c r="B300" s="43">
        <v>2</v>
      </c>
      <c r="C300" s="43" t="s">
        <v>80</v>
      </c>
      <c r="D300" s="43" t="s">
        <v>0</v>
      </c>
      <c r="E300" s="4" t="s">
        <v>41</v>
      </c>
      <c r="F300" s="4" t="s">
        <v>47</v>
      </c>
      <c r="G300" s="5"/>
    </row>
    <row r="301" spans="1:7" x14ac:dyDescent="0.3">
      <c r="A301" s="12">
        <v>1</v>
      </c>
      <c r="B301" s="42">
        <v>2</v>
      </c>
      <c r="C301" s="42" t="s">
        <v>80</v>
      </c>
      <c r="D301" s="42" t="s">
        <v>40</v>
      </c>
      <c r="E301" s="15" t="s">
        <v>9</v>
      </c>
      <c r="F301" s="15" t="s">
        <v>47</v>
      </c>
      <c r="G301" s="5"/>
    </row>
    <row r="302" spans="1:7" x14ac:dyDescent="0.3">
      <c r="A302" s="7">
        <v>1</v>
      </c>
      <c r="B302" s="38">
        <v>1</v>
      </c>
      <c r="C302" s="38" t="s">
        <v>81</v>
      </c>
      <c r="D302" s="46" t="s">
        <v>29</v>
      </c>
      <c r="E302" s="4" t="s">
        <v>42</v>
      </c>
      <c r="F302" s="4" t="s">
        <v>72</v>
      </c>
      <c r="G302" s="5"/>
    </row>
    <row r="303" spans="1:7" x14ac:dyDescent="0.3">
      <c r="A303" s="12">
        <v>1</v>
      </c>
      <c r="B303" s="38">
        <v>2</v>
      </c>
      <c r="C303" s="44" t="s">
        <v>80</v>
      </c>
      <c r="D303" s="46" t="s">
        <v>29</v>
      </c>
      <c r="E303" s="15" t="s">
        <v>42</v>
      </c>
      <c r="F303" s="15" t="s">
        <v>70</v>
      </c>
      <c r="G303" s="5"/>
    </row>
    <row r="304" spans="1:7" x14ac:dyDescent="0.3">
      <c r="A304" s="7">
        <v>1</v>
      </c>
      <c r="B304" s="38">
        <v>1</v>
      </c>
      <c r="C304" s="38" t="s">
        <v>81</v>
      </c>
      <c r="D304" s="46" t="s">
        <v>29</v>
      </c>
      <c r="E304" s="4" t="s">
        <v>42</v>
      </c>
      <c r="F304" s="4" t="s">
        <v>74</v>
      </c>
      <c r="G304" s="5"/>
    </row>
    <row r="305" spans="1:7" x14ac:dyDescent="0.3">
      <c r="A305" s="12">
        <v>1</v>
      </c>
      <c r="B305" s="42">
        <v>2</v>
      </c>
      <c r="C305" s="42" t="s">
        <v>80</v>
      </c>
      <c r="D305" s="42" t="s">
        <v>0</v>
      </c>
      <c r="E305" s="15" t="s">
        <v>41</v>
      </c>
      <c r="F305" s="15" t="s">
        <v>50</v>
      </c>
      <c r="G305" s="5"/>
    </row>
    <row r="306" spans="1:7" x14ac:dyDescent="0.3">
      <c r="A306" s="7">
        <v>1</v>
      </c>
      <c r="B306" s="43">
        <v>2</v>
      </c>
      <c r="C306" s="42" t="s">
        <v>80</v>
      </c>
      <c r="D306" s="43" t="s">
        <v>40</v>
      </c>
      <c r="E306" s="4" t="s">
        <v>9</v>
      </c>
      <c r="F306" s="4" t="s">
        <v>50</v>
      </c>
      <c r="G306" s="5"/>
    </row>
    <row r="307" spans="1:7" x14ac:dyDescent="0.3">
      <c r="A307" s="12">
        <v>1</v>
      </c>
      <c r="B307" s="38">
        <v>1</v>
      </c>
      <c r="C307" s="44" t="s">
        <v>81</v>
      </c>
      <c r="D307" s="46" t="s">
        <v>29</v>
      </c>
      <c r="E307" s="15" t="s">
        <v>42</v>
      </c>
      <c r="F307" s="15" t="s">
        <v>67</v>
      </c>
      <c r="G307" s="5"/>
    </row>
    <row r="308" spans="1:7" x14ac:dyDescent="0.3">
      <c r="A308" s="12">
        <v>1</v>
      </c>
      <c r="B308" s="42">
        <v>2</v>
      </c>
      <c r="C308" s="42" t="s">
        <v>80</v>
      </c>
      <c r="D308" s="42" t="s">
        <v>0</v>
      </c>
      <c r="E308" s="15" t="s">
        <v>41</v>
      </c>
      <c r="F308" s="15" t="s">
        <v>49</v>
      </c>
      <c r="G308" s="5"/>
    </row>
    <row r="309" spans="1:7" x14ac:dyDescent="0.3">
      <c r="A309" s="7">
        <v>1</v>
      </c>
      <c r="B309" s="43">
        <v>1</v>
      </c>
      <c r="C309" s="43" t="s">
        <v>81</v>
      </c>
      <c r="D309" s="43" t="s">
        <v>40</v>
      </c>
      <c r="E309" s="4" t="s">
        <v>10</v>
      </c>
      <c r="F309" s="4" t="s">
        <v>49</v>
      </c>
      <c r="G309" s="5"/>
    </row>
    <row r="310" spans="1:7" x14ac:dyDescent="0.3">
      <c r="A310" s="12">
        <v>1</v>
      </c>
      <c r="B310" s="38">
        <v>1</v>
      </c>
      <c r="C310" s="44" t="s">
        <v>81</v>
      </c>
      <c r="D310" s="46" t="s">
        <v>29</v>
      </c>
      <c r="E310" s="15" t="s">
        <v>42</v>
      </c>
      <c r="F310" s="15" t="s">
        <v>71</v>
      </c>
      <c r="G310" s="5"/>
    </row>
    <row r="311" spans="1:7" x14ac:dyDescent="0.3">
      <c r="A311" s="7">
        <v>1</v>
      </c>
      <c r="B311" s="43">
        <v>1</v>
      </c>
      <c r="C311" s="43" t="s">
        <v>81</v>
      </c>
      <c r="D311" s="43" t="s">
        <v>0</v>
      </c>
      <c r="E311" s="4" t="s">
        <v>41</v>
      </c>
      <c r="F311" s="4" t="s">
        <v>45</v>
      </c>
      <c r="G311" s="5"/>
    </row>
    <row r="312" spans="1:7" x14ac:dyDescent="0.3">
      <c r="A312" s="12">
        <v>1</v>
      </c>
      <c r="B312" s="42">
        <v>2</v>
      </c>
      <c r="C312" s="42" t="s">
        <v>80</v>
      </c>
      <c r="D312" s="42" t="s">
        <v>40</v>
      </c>
      <c r="E312" s="15" t="s">
        <v>10</v>
      </c>
      <c r="F312" s="15" t="s">
        <v>45</v>
      </c>
      <c r="G312" s="5"/>
    </row>
    <row r="313" spans="1:7" x14ac:dyDescent="0.3">
      <c r="A313" s="7">
        <v>1</v>
      </c>
      <c r="B313" s="43">
        <v>2</v>
      </c>
      <c r="C313" s="43" t="s">
        <v>80</v>
      </c>
      <c r="D313" s="43" t="s">
        <v>0</v>
      </c>
      <c r="E313" s="4" t="s">
        <v>41</v>
      </c>
      <c r="F313" s="4" t="s">
        <v>44</v>
      </c>
      <c r="G313" s="5"/>
    </row>
    <row r="314" spans="1:7" x14ac:dyDescent="0.3">
      <c r="A314" s="12">
        <v>1</v>
      </c>
      <c r="B314" s="42">
        <v>1</v>
      </c>
      <c r="C314" s="42" t="s">
        <v>81</v>
      </c>
      <c r="D314" s="42" t="s">
        <v>40</v>
      </c>
      <c r="E314" s="15" t="s">
        <v>10</v>
      </c>
      <c r="F314" s="15" t="s">
        <v>44</v>
      </c>
      <c r="G314" s="5"/>
    </row>
    <row r="315" spans="1:7" x14ac:dyDescent="0.3">
      <c r="A315" s="7">
        <v>1</v>
      </c>
      <c r="B315" s="38">
        <v>2</v>
      </c>
      <c r="C315" s="38" t="s">
        <v>80</v>
      </c>
      <c r="D315" s="46" t="s">
        <v>29</v>
      </c>
      <c r="E315" s="4" t="s">
        <v>42</v>
      </c>
      <c r="F315" s="4" t="s">
        <v>68</v>
      </c>
      <c r="G315" s="5"/>
    </row>
    <row r="316" spans="1:7" x14ac:dyDescent="0.3">
      <c r="A316" s="12">
        <v>1</v>
      </c>
      <c r="B316" s="42">
        <v>1</v>
      </c>
      <c r="C316" s="42" t="s">
        <v>81</v>
      </c>
      <c r="D316" s="42" t="s">
        <v>0</v>
      </c>
      <c r="E316" s="15" t="s">
        <v>41</v>
      </c>
      <c r="F316" s="15" t="s">
        <v>46</v>
      </c>
      <c r="G316" s="5"/>
    </row>
    <row r="317" spans="1:7" x14ac:dyDescent="0.3">
      <c r="A317" s="7">
        <v>1</v>
      </c>
      <c r="B317" s="43">
        <v>1</v>
      </c>
      <c r="C317" s="42" t="s">
        <v>81</v>
      </c>
      <c r="D317" s="43" t="s">
        <v>40</v>
      </c>
      <c r="E317" s="4" t="s">
        <v>9</v>
      </c>
      <c r="F317" s="4" t="s">
        <v>46</v>
      </c>
      <c r="G317" s="5"/>
    </row>
    <row r="318" spans="1:7" x14ac:dyDescent="0.3">
      <c r="A318" s="7">
        <v>1</v>
      </c>
      <c r="B318" s="38">
        <v>2</v>
      </c>
      <c r="C318" s="38" t="s">
        <v>80</v>
      </c>
      <c r="D318" s="46" t="s">
        <v>29</v>
      </c>
      <c r="E318" s="4" t="s">
        <v>42</v>
      </c>
      <c r="F318" s="4" t="s">
        <v>73</v>
      </c>
      <c r="G318" s="5"/>
    </row>
    <row r="319" spans="1:7" x14ac:dyDescent="0.3">
      <c r="A319" s="12">
        <v>1</v>
      </c>
      <c r="B319" s="42">
        <v>1</v>
      </c>
      <c r="C319" s="42" t="s">
        <v>81</v>
      </c>
      <c r="D319" s="42" t="s">
        <v>0</v>
      </c>
      <c r="E319" s="15" t="s">
        <v>41</v>
      </c>
      <c r="F319" s="15" t="s">
        <v>43</v>
      </c>
      <c r="G319" s="5"/>
    </row>
    <row r="320" spans="1:7" x14ac:dyDescent="0.3">
      <c r="A320" s="7">
        <v>1</v>
      </c>
      <c r="B320" s="43">
        <v>1</v>
      </c>
      <c r="C320" s="42" t="s">
        <v>81</v>
      </c>
      <c r="D320" s="43" t="s">
        <v>40</v>
      </c>
      <c r="E320" s="4" t="s">
        <v>9</v>
      </c>
      <c r="F320" s="4" t="s">
        <v>43</v>
      </c>
      <c r="G320" s="5"/>
    </row>
    <row r="321" spans="1:7" x14ac:dyDescent="0.3">
      <c r="A321" s="12">
        <v>1</v>
      </c>
      <c r="B321" s="42">
        <v>1</v>
      </c>
      <c r="C321" s="42" t="s">
        <v>81</v>
      </c>
      <c r="D321" s="42" t="s">
        <v>0</v>
      </c>
      <c r="E321" s="15" t="s">
        <v>41</v>
      </c>
      <c r="F321" s="15" t="s">
        <v>48</v>
      </c>
      <c r="G321" s="5"/>
    </row>
    <row r="322" spans="1:7" x14ac:dyDescent="0.3">
      <c r="A322" s="7">
        <v>1</v>
      </c>
      <c r="B322" s="43">
        <v>2</v>
      </c>
      <c r="C322" s="43" t="s">
        <v>80</v>
      </c>
      <c r="D322" s="43" t="s">
        <v>40</v>
      </c>
      <c r="E322" s="4" t="s">
        <v>10</v>
      </c>
      <c r="F322" s="4" t="s">
        <v>48</v>
      </c>
      <c r="G322" s="5"/>
    </row>
    <row r="323" spans="1:7" x14ac:dyDescent="0.3">
      <c r="A323" s="4">
        <v>2</v>
      </c>
      <c r="B323" s="43">
        <v>1</v>
      </c>
      <c r="C323" s="43" t="s">
        <v>81</v>
      </c>
      <c r="D323" s="43" t="s">
        <v>0</v>
      </c>
      <c r="E323" s="4" t="s">
        <v>41</v>
      </c>
      <c r="F323" s="4" t="s">
        <v>51</v>
      </c>
      <c r="G323" s="5"/>
    </row>
    <row r="324" spans="1:7" x14ac:dyDescent="0.3">
      <c r="A324" s="4">
        <v>2</v>
      </c>
      <c r="B324" s="43">
        <v>1</v>
      </c>
      <c r="C324" s="43" t="s">
        <v>81</v>
      </c>
      <c r="D324" s="43" t="s">
        <v>40</v>
      </c>
      <c r="E324" s="4" t="s">
        <v>9</v>
      </c>
      <c r="F324" s="4" t="s">
        <v>51</v>
      </c>
      <c r="G324" s="5"/>
    </row>
    <row r="325" spans="1:7" x14ac:dyDescent="0.3">
      <c r="A325" s="4">
        <v>2</v>
      </c>
      <c r="B325" s="39">
        <v>2</v>
      </c>
      <c r="C325" s="39" t="s">
        <v>80</v>
      </c>
      <c r="D325" s="39" t="s">
        <v>29</v>
      </c>
      <c r="E325" s="4" t="s">
        <v>42</v>
      </c>
      <c r="F325" s="4" t="s">
        <v>47</v>
      </c>
      <c r="G325" s="5"/>
    </row>
    <row r="326" spans="1:7" x14ac:dyDescent="0.3">
      <c r="A326" s="15">
        <v>2</v>
      </c>
      <c r="B326" s="42">
        <v>1</v>
      </c>
      <c r="C326" s="42" t="s">
        <v>81</v>
      </c>
      <c r="D326" s="42" t="s">
        <v>0</v>
      </c>
      <c r="E326" s="15" t="s">
        <v>41</v>
      </c>
      <c r="F326" s="15" t="s">
        <v>55</v>
      </c>
      <c r="G326" s="5"/>
    </row>
    <row r="327" spans="1:7" x14ac:dyDescent="0.3">
      <c r="A327" s="4">
        <v>2</v>
      </c>
      <c r="B327" s="43">
        <v>1</v>
      </c>
      <c r="C327" s="43" t="s">
        <v>81</v>
      </c>
      <c r="D327" s="43" t="s">
        <v>40</v>
      </c>
      <c r="E327" s="4" t="s">
        <v>9</v>
      </c>
      <c r="F327" s="4" t="s">
        <v>55</v>
      </c>
      <c r="G327" s="5"/>
    </row>
    <row r="328" spans="1:7" x14ac:dyDescent="0.3">
      <c r="A328" s="15">
        <v>2</v>
      </c>
      <c r="B328" s="39">
        <v>2</v>
      </c>
      <c r="C328" s="39" t="s">
        <v>80</v>
      </c>
      <c r="D328" s="39" t="s">
        <v>29</v>
      </c>
      <c r="E328" s="15" t="s">
        <v>42</v>
      </c>
      <c r="F328" s="15" t="s">
        <v>50</v>
      </c>
      <c r="G328" s="5"/>
    </row>
    <row r="329" spans="1:7" x14ac:dyDescent="0.3">
      <c r="A329" s="4">
        <v>2</v>
      </c>
      <c r="B329" s="39">
        <v>1</v>
      </c>
      <c r="C329" s="39" t="s">
        <v>81</v>
      </c>
      <c r="D329" s="39" t="s">
        <v>29</v>
      </c>
      <c r="E329" s="4" t="s">
        <v>42</v>
      </c>
      <c r="F329" s="4" t="s">
        <v>49</v>
      </c>
      <c r="G329" s="5"/>
    </row>
    <row r="330" spans="1:7" x14ac:dyDescent="0.3">
      <c r="A330" s="15">
        <v>2</v>
      </c>
      <c r="B330" s="42">
        <v>1</v>
      </c>
      <c r="C330" s="42" t="s">
        <v>81</v>
      </c>
      <c r="D330" s="42" t="s">
        <v>0</v>
      </c>
      <c r="E330" s="15" t="s">
        <v>41</v>
      </c>
      <c r="F330" s="15" t="s">
        <v>53</v>
      </c>
      <c r="G330" s="5"/>
    </row>
    <row r="331" spans="1:7" x14ac:dyDescent="0.3">
      <c r="A331" s="4">
        <v>2</v>
      </c>
      <c r="B331" s="43">
        <v>1</v>
      </c>
      <c r="C331" s="45" t="s">
        <v>80</v>
      </c>
      <c r="D331" s="43" t="s">
        <v>40</v>
      </c>
      <c r="E331" s="4" t="s">
        <v>10</v>
      </c>
      <c r="F331" s="4" t="s">
        <v>53</v>
      </c>
      <c r="G331" s="5"/>
    </row>
    <row r="332" spans="1:7" x14ac:dyDescent="0.3">
      <c r="A332" s="15">
        <v>2</v>
      </c>
      <c r="B332" s="39">
        <v>2</v>
      </c>
      <c r="C332" s="39" t="s">
        <v>80</v>
      </c>
      <c r="D332" s="39" t="s">
        <v>29</v>
      </c>
      <c r="E332" s="15" t="s">
        <v>42</v>
      </c>
      <c r="F332" s="15" t="s">
        <v>45</v>
      </c>
      <c r="G332" s="5"/>
    </row>
    <row r="333" spans="1:7" x14ac:dyDescent="0.3">
      <c r="A333" s="4">
        <v>2</v>
      </c>
      <c r="B333" s="43">
        <v>2</v>
      </c>
      <c r="C333" s="43" t="s">
        <v>80</v>
      </c>
      <c r="D333" s="43" t="s">
        <v>0</v>
      </c>
      <c r="E333" s="4" t="s">
        <v>41</v>
      </c>
      <c r="F333" s="4" t="s">
        <v>57</v>
      </c>
      <c r="G333" s="5"/>
    </row>
    <row r="334" spans="1:7" x14ac:dyDescent="0.3">
      <c r="A334" s="4">
        <v>2</v>
      </c>
      <c r="B334" s="43">
        <v>1</v>
      </c>
      <c r="C334" s="43" t="s">
        <v>81</v>
      </c>
      <c r="D334" s="43" t="s">
        <v>40</v>
      </c>
      <c r="E334" s="4" t="s">
        <v>10</v>
      </c>
      <c r="F334" s="4" t="s">
        <v>57</v>
      </c>
      <c r="G334" s="5"/>
    </row>
    <row r="335" spans="1:7" x14ac:dyDescent="0.3">
      <c r="A335" s="4">
        <v>2</v>
      </c>
      <c r="B335" s="39">
        <v>1</v>
      </c>
      <c r="C335" s="39" t="s">
        <v>81</v>
      </c>
      <c r="D335" s="39" t="s">
        <v>29</v>
      </c>
      <c r="E335" s="4" t="s">
        <v>42</v>
      </c>
      <c r="F335" s="4" t="s">
        <v>44</v>
      </c>
      <c r="G335" s="5"/>
    </row>
    <row r="336" spans="1:7" x14ac:dyDescent="0.3">
      <c r="A336" s="15">
        <v>2</v>
      </c>
      <c r="B336" s="42">
        <v>1</v>
      </c>
      <c r="C336" s="42" t="s">
        <v>81</v>
      </c>
      <c r="D336" s="42" t="s">
        <v>0</v>
      </c>
      <c r="E336" s="15" t="s">
        <v>41</v>
      </c>
      <c r="F336" s="15" t="s">
        <v>52</v>
      </c>
      <c r="G336" s="5"/>
    </row>
    <row r="337" spans="1:7" x14ac:dyDescent="0.3">
      <c r="A337" s="4">
        <v>2</v>
      </c>
      <c r="B337" s="43">
        <v>2</v>
      </c>
      <c r="C337" s="43" t="s">
        <v>80</v>
      </c>
      <c r="D337" s="43" t="s">
        <v>40</v>
      </c>
      <c r="E337" s="4" t="s">
        <v>10</v>
      </c>
      <c r="F337" s="4" t="s">
        <v>52</v>
      </c>
      <c r="G337" s="5"/>
    </row>
    <row r="338" spans="1:7" x14ac:dyDescent="0.3">
      <c r="A338" s="15">
        <v>2</v>
      </c>
      <c r="B338" s="42">
        <v>2</v>
      </c>
      <c r="C338" s="42" t="s">
        <v>80</v>
      </c>
      <c r="D338" s="42" t="s">
        <v>0</v>
      </c>
      <c r="E338" s="15" t="s">
        <v>41</v>
      </c>
      <c r="F338" s="15" t="s">
        <v>56</v>
      </c>
      <c r="G338" s="5"/>
    </row>
    <row r="339" spans="1:7" x14ac:dyDescent="0.3">
      <c r="A339" s="4">
        <v>2</v>
      </c>
      <c r="B339" s="43">
        <v>2</v>
      </c>
      <c r="C339" s="43" t="s">
        <v>80</v>
      </c>
      <c r="D339" s="43" t="s">
        <v>40</v>
      </c>
      <c r="E339" s="4" t="s">
        <v>9</v>
      </c>
      <c r="F339" s="4" t="s">
        <v>56</v>
      </c>
      <c r="G339" s="5"/>
    </row>
    <row r="340" spans="1:7" x14ac:dyDescent="0.3">
      <c r="A340" s="15">
        <v>2</v>
      </c>
      <c r="B340" s="39">
        <v>1</v>
      </c>
      <c r="C340" s="39" t="s">
        <v>81</v>
      </c>
      <c r="D340" s="39" t="s">
        <v>29</v>
      </c>
      <c r="E340" s="15" t="s">
        <v>42</v>
      </c>
      <c r="F340" s="15" t="s">
        <v>46</v>
      </c>
      <c r="G340" s="5"/>
    </row>
    <row r="341" spans="1:7" x14ac:dyDescent="0.3">
      <c r="A341" s="4">
        <v>2</v>
      </c>
      <c r="B341" s="43">
        <v>2</v>
      </c>
      <c r="C341" s="43" t="s">
        <v>80</v>
      </c>
      <c r="D341" s="43" t="s">
        <v>0</v>
      </c>
      <c r="E341" s="4" t="s">
        <v>41</v>
      </c>
      <c r="F341" s="4" t="s">
        <v>54</v>
      </c>
      <c r="G341" s="5"/>
    </row>
    <row r="342" spans="1:7" x14ac:dyDescent="0.3">
      <c r="A342" s="4">
        <v>2</v>
      </c>
      <c r="B342" s="43">
        <v>2</v>
      </c>
      <c r="C342" s="43" t="s">
        <v>80</v>
      </c>
      <c r="D342" s="43" t="s">
        <v>40</v>
      </c>
      <c r="E342" s="4" t="s">
        <v>9</v>
      </c>
      <c r="F342" s="4" t="s">
        <v>54</v>
      </c>
      <c r="G342" s="5"/>
    </row>
    <row r="343" spans="1:7" x14ac:dyDescent="0.3">
      <c r="A343" s="4">
        <v>2</v>
      </c>
      <c r="B343" s="39">
        <v>1</v>
      </c>
      <c r="C343" s="39" t="s">
        <v>81</v>
      </c>
      <c r="D343" s="39" t="s">
        <v>29</v>
      </c>
      <c r="E343" s="4" t="s">
        <v>42</v>
      </c>
      <c r="F343" s="4" t="s">
        <v>43</v>
      </c>
      <c r="G343" s="5"/>
    </row>
    <row r="344" spans="1:7" x14ac:dyDescent="0.3">
      <c r="A344" s="15">
        <v>2</v>
      </c>
      <c r="B344" s="39">
        <v>2</v>
      </c>
      <c r="C344" s="39" t="s">
        <v>80</v>
      </c>
      <c r="D344" s="39" t="s">
        <v>29</v>
      </c>
      <c r="E344" s="15" t="s">
        <v>42</v>
      </c>
      <c r="F344" s="15" t="s">
        <v>48</v>
      </c>
      <c r="G344" s="5"/>
    </row>
    <row r="345" spans="1:7" x14ac:dyDescent="0.3">
      <c r="A345" s="4">
        <v>2</v>
      </c>
      <c r="B345" s="43">
        <v>2</v>
      </c>
      <c r="C345" s="43" t="s">
        <v>80</v>
      </c>
      <c r="D345" s="43" t="s">
        <v>0</v>
      </c>
      <c r="E345" s="4" t="s">
        <v>41</v>
      </c>
      <c r="F345" s="4" t="s">
        <v>58</v>
      </c>
      <c r="G345" s="5"/>
    </row>
    <row r="346" spans="1:7" x14ac:dyDescent="0.3">
      <c r="A346" s="4">
        <v>2</v>
      </c>
      <c r="B346" s="43">
        <v>1</v>
      </c>
      <c r="C346" s="43" t="s">
        <v>81</v>
      </c>
      <c r="D346" s="43" t="s">
        <v>40</v>
      </c>
      <c r="E346" s="4" t="s">
        <v>10</v>
      </c>
      <c r="F346" s="4" t="s">
        <v>58</v>
      </c>
      <c r="G346" s="5"/>
    </row>
    <row r="347" spans="1:7" x14ac:dyDescent="0.3">
      <c r="A347" s="12">
        <v>3</v>
      </c>
      <c r="B347" s="42">
        <v>1</v>
      </c>
      <c r="C347" s="42" t="s">
        <v>81</v>
      </c>
      <c r="D347" s="42" t="s">
        <v>0</v>
      </c>
      <c r="E347" s="15" t="s">
        <v>41</v>
      </c>
      <c r="F347" s="15" t="s">
        <v>63</v>
      </c>
      <c r="G347" s="5"/>
    </row>
    <row r="348" spans="1:7" x14ac:dyDescent="0.3">
      <c r="A348" s="7">
        <v>3</v>
      </c>
      <c r="B348" s="43">
        <v>2</v>
      </c>
      <c r="C348" s="43" t="s">
        <v>80</v>
      </c>
      <c r="D348" s="43" t="s">
        <v>40</v>
      </c>
      <c r="E348" s="4" t="s">
        <v>10</v>
      </c>
      <c r="F348" s="4" t="s">
        <v>63</v>
      </c>
      <c r="G348" s="5"/>
    </row>
    <row r="349" spans="1:7" x14ac:dyDescent="0.3">
      <c r="A349" s="12">
        <v>3</v>
      </c>
      <c r="B349" s="40">
        <v>2</v>
      </c>
      <c r="C349" s="40" t="s">
        <v>80</v>
      </c>
      <c r="D349" s="40" t="s">
        <v>29</v>
      </c>
      <c r="E349" s="15" t="s">
        <v>42</v>
      </c>
      <c r="F349" s="15" t="s">
        <v>51</v>
      </c>
      <c r="G349" s="5"/>
    </row>
    <row r="350" spans="1:7" x14ac:dyDescent="0.3">
      <c r="A350" s="12">
        <v>3</v>
      </c>
      <c r="B350" s="42">
        <v>2</v>
      </c>
      <c r="C350" s="42" t="s">
        <v>80</v>
      </c>
      <c r="D350" s="42" t="s">
        <v>0</v>
      </c>
      <c r="E350" s="15" t="s">
        <v>41</v>
      </c>
      <c r="F350" s="15" t="s">
        <v>59</v>
      </c>
      <c r="G350" s="5"/>
    </row>
    <row r="351" spans="1:7" x14ac:dyDescent="0.3">
      <c r="A351" s="7">
        <v>3</v>
      </c>
      <c r="B351" s="43">
        <v>1</v>
      </c>
      <c r="C351" s="43" t="s">
        <v>81</v>
      </c>
      <c r="D351" s="43" t="s">
        <v>40</v>
      </c>
      <c r="E351" s="4" t="s">
        <v>10</v>
      </c>
      <c r="F351" s="4" t="s">
        <v>59</v>
      </c>
      <c r="G351" s="5"/>
    </row>
    <row r="352" spans="1:7" x14ac:dyDescent="0.3">
      <c r="A352" s="7">
        <v>3</v>
      </c>
      <c r="B352" s="40">
        <v>1</v>
      </c>
      <c r="C352" s="40" t="s">
        <v>81</v>
      </c>
      <c r="D352" s="40" t="s">
        <v>29</v>
      </c>
      <c r="E352" s="4" t="s">
        <v>42</v>
      </c>
      <c r="F352" s="4" t="s">
        <v>55</v>
      </c>
      <c r="G352" s="5"/>
    </row>
    <row r="353" spans="1:7" x14ac:dyDescent="0.3">
      <c r="A353" s="12">
        <v>3</v>
      </c>
      <c r="B353" s="42">
        <v>1</v>
      </c>
      <c r="C353" s="42" t="s">
        <v>81</v>
      </c>
      <c r="D353" s="42" t="s">
        <v>0</v>
      </c>
      <c r="E353" s="15" t="s">
        <v>41</v>
      </c>
      <c r="F353" s="15" t="s">
        <v>65</v>
      </c>
      <c r="G353" s="5"/>
    </row>
    <row r="354" spans="1:7" x14ac:dyDescent="0.3">
      <c r="A354" s="7">
        <v>3</v>
      </c>
      <c r="B354" s="43">
        <v>2</v>
      </c>
      <c r="C354" s="43" t="s">
        <v>80</v>
      </c>
      <c r="D354" s="43" t="s">
        <v>40</v>
      </c>
      <c r="E354" s="4" t="s">
        <v>10</v>
      </c>
      <c r="F354" s="4" t="s">
        <v>65</v>
      </c>
      <c r="G354" s="5"/>
    </row>
    <row r="355" spans="1:7" x14ac:dyDescent="0.3">
      <c r="A355" s="12">
        <v>3</v>
      </c>
      <c r="B355" s="40">
        <v>1</v>
      </c>
      <c r="C355" s="40" t="s">
        <v>81</v>
      </c>
      <c r="D355" s="40" t="s">
        <v>29</v>
      </c>
      <c r="E355" s="15" t="s">
        <v>42</v>
      </c>
      <c r="F355" s="15" t="s">
        <v>53</v>
      </c>
      <c r="G355" s="5"/>
    </row>
    <row r="356" spans="1:7" x14ac:dyDescent="0.3">
      <c r="A356" s="7">
        <v>3</v>
      </c>
      <c r="B356" s="43">
        <v>2</v>
      </c>
      <c r="C356" s="43" t="s">
        <v>80</v>
      </c>
      <c r="D356" s="43" t="s">
        <v>0</v>
      </c>
      <c r="E356" s="4" t="s">
        <v>41</v>
      </c>
      <c r="F356" s="4" t="s">
        <v>61</v>
      </c>
      <c r="G356" s="5"/>
    </row>
    <row r="357" spans="1:7" x14ac:dyDescent="0.3">
      <c r="A357" s="12">
        <v>3</v>
      </c>
      <c r="B357" s="42">
        <v>2</v>
      </c>
      <c r="C357" s="42" t="s">
        <v>80</v>
      </c>
      <c r="D357" s="42" t="s">
        <v>40</v>
      </c>
      <c r="E357" s="15" t="s">
        <v>9</v>
      </c>
      <c r="F357" s="15" t="s">
        <v>61</v>
      </c>
      <c r="G357" s="5"/>
    </row>
    <row r="358" spans="1:7" x14ac:dyDescent="0.3">
      <c r="A358" s="7">
        <v>3</v>
      </c>
      <c r="B358" s="40">
        <v>1</v>
      </c>
      <c r="C358" s="40" t="s">
        <v>81</v>
      </c>
      <c r="D358" s="40" t="s">
        <v>29</v>
      </c>
      <c r="E358" s="4" t="s">
        <v>42</v>
      </c>
      <c r="F358" s="4" t="s">
        <v>57</v>
      </c>
      <c r="G358" s="5"/>
    </row>
    <row r="359" spans="1:7" x14ac:dyDescent="0.3">
      <c r="A359" s="12">
        <v>3</v>
      </c>
      <c r="B359" s="40">
        <v>1</v>
      </c>
      <c r="C359" s="40" t="s">
        <v>81</v>
      </c>
      <c r="D359" s="40" t="s">
        <v>29</v>
      </c>
      <c r="E359" s="15" t="s">
        <v>42</v>
      </c>
      <c r="F359" s="15" t="s">
        <v>52</v>
      </c>
      <c r="G359" s="5"/>
    </row>
    <row r="360" spans="1:7" x14ac:dyDescent="0.3">
      <c r="A360" s="7">
        <v>3</v>
      </c>
      <c r="B360" s="43">
        <v>2</v>
      </c>
      <c r="C360" s="43" t="s">
        <v>80</v>
      </c>
      <c r="D360" s="43" t="s">
        <v>0</v>
      </c>
      <c r="E360" s="4" t="s">
        <v>41</v>
      </c>
      <c r="F360" s="4" t="s">
        <v>60</v>
      </c>
      <c r="G360" s="5"/>
    </row>
    <row r="361" spans="1:7" x14ac:dyDescent="0.3">
      <c r="A361" s="12">
        <v>3</v>
      </c>
      <c r="B361" s="42">
        <v>2</v>
      </c>
      <c r="C361" s="42" t="s">
        <v>80</v>
      </c>
      <c r="D361" s="42" t="s">
        <v>40</v>
      </c>
      <c r="E361" s="15" t="s">
        <v>9</v>
      </c>
      <c r="F361" s="15" t="s">
        <v>60</v>
      </c>
      <c r="G361" s="5"/>
    </row>
    <row r="362" spans="1:7" x14ac:dyDescent="0.3">
      <c r="A362" s="7">
        <v>3</v>
      </c>
      <c r="B362" s="43">
        <v>2</v>
      </c>
      <c r="C362" s="43" t="s">
        <v>80</v>
      </c>
      <c r="D362" s="43" t="s">
        <v>0</v>
      </c>
      <c r="E362" s="4" t="s">
        <v>41</v>
      </c>
      <c r="F362" s="4" t="s">
        <v>66</v>
      </c>
      <c r="G362" s="5"/>
    </row>
    <row r="363" spans="1:7" x14ac:dyDescent="0.3">
      <c r="A363" s="12">
        <v>3</v>
      </c>
      <c r="B363" s="42">
        <v>1</v>
      </c>
      <c r="C363" s="42" t="s">
        <v>81</v>
      </c>
      <c r="D363" s="42" t="s">
        <v>40</v>
      </c>
      <c r="E363" s="15" t="s">
        <v>10</v>
      </c>
      <c r="F363" s="15" t="s">
        <v>66</v>
      </c>
      <c r="G363" s="5"/>
    </row>
    <row r="364" spans="1:7" x14ac:dyDescent="0.3">
      <c r="A364" s="7">
        <v>3</v>
      </c>
      <c r="B364" s="40">
        <v>2</v>
      </c>
      <c r="C364" s="40" t="s">
        <v>80</v>
      </c>
      <c r="D364" s="40" t="s">
        <v>29</v>
      </c>
      <c r="E364" s="4" t="s">
        <v>42</v>
      </c>
      <c r="F364" s="4" t="s">
        <v>56</v>
      </c>
      <c r="G364" s="5"/>
    </row>
    <row r="365" spans="1:7" x14ac:dyDescent="0.3">
      <c r="A365" s="12">
        <v>3</v>
      </c>
      <c r="B365" s="40">
        <v>1</v>
      </c>
      <c r="C365" s="40" t="s">
        <v>81</v>
      </c>
      <c r="D365" s="40" t="s">
        <v>29</v>
      </c>
      <c r="E365" s="15" t="s">
        <v>42</v>
      </c>
      <c r="F365" s="15" t="s">
        <v>54</v>
      </c>
      <c r="G365" s="5"/>
    </row>
    <row r="366" spans="1:7" x14ac:dyDescent="0.3">
      <c r="A366" s="7">
        <v>3</v>
      </c>
      <c r="B366" s="43">
        <v>1</v>
      </c>
      <c r="C366" s="43" t="s">
        <v>81</v>
      </c>
      <c r="D366" s="43" t="s">
        <v>0</v>
      </c>
      <c r="E366" s="4" t="s">
        <v>41</v>
      </c>
      <c r="F366" s="4" t="s">
        <v>64</v>
      </c>
      <c r="G366" s="5"/>
    </row>
    <row r="367" spans="1:7" x14ac:dyDescent="0.3">
      <c r="A367" s="12">
        <v>3</v>
      </c>
      <c r="B367" s="42">
        <v>1</v>
      </c>
      <c r="C367" s="42" t="s">
        <v>81</v>
      </c>
      <c r="D367" s="42" t="s">
        <v>40</v>
      </c>
      <c r="E367" s="15" t="s">
        <v>9</v>
      </c>
      <c r="F367" s="15" t="s">
        <v>64</v>
      </c>
      <c r="G367" s="5"/>
    </row>
    <row r="368" spans="1:7" x14ac:dyDescent="0.3">
      <c r="A368" s="7">
        <v>3</v>
      </c>
      <c r="B368" s="40">
        <v>2</v>
      </c>
      <c r="C368" s="40" t="s">
        <v>80</v>
      </c>
      <c r="D368" s="40" t="s">
        <v>29</v>
      </c>
      <c r="E368" s="4" t="s">
        <v>42</v>
      </c>
      <c r="F368" s="4" t="s">
        <v>58</v>
      </c>
      <c r="G368" s="5"/>
    </row>
    <row r="369" spans="1:7" x14ac:dyDescent="0.3">
      <c r="A369" s="12">
        <v>3</v>
      </c>
      <c r="B369" s="42">
        <v>1</v>
      </c>
      <c r="C369" s="42" t="s">
        <v>81</v>
      </c>
      <c r="D369" s="42" t="s">
        <v>0</v>
      </c>
      <c r="E369" s="15" t="s">
        <v>41</v>
      </c>
      <c r="F369" s="15" t="s">
        <v>62</v>
      </c>
      <c r="G369" s="5"/>
    </row>
    <row r="370" spans="1:7" x14ac:dyDescent="0.3">
      <c r="A370" s="7">
        <v>3</v>
      </c>
      <c r="B370" s="43">
        <v>1</v>
      </c>
      <c r="C370" s="43" t="s">
        <v>81</v>
      </c>
      <c r="D370" s="43" t="s">
        <v>40</v>
      </c>
      <c r="E370" s="4" t="s">
        <v>9</v>
      </c>
      <c r="F370" s="4" t="s">
        <v>62</v>
      </c>
      <c r="G370" s="5"/>
    </row>
    <row r="371" spans="1:7" x14ac:dyDescent="0.3">
      <c r="A371" s="4">
        <v>4</v>
      </c>
      <c r="B371" s="41">
        <v>2</v>
      </c>
      <c r="C371" s="41" t="s">
        <v>80</v>
      </c>
      <c r="D371" s="41" t="s">
        <v>29</v>
      </c>
      <c r="E371" s="4" t="s">
        <v>42</v>
      </c>
      <c r="F371" s="4" t="s">
        <v>63</v>
      </c>
      <c r="G371" s="5"/>
    </row>
    <row r="372" spans="1:7" x14ac:dyDescent="0.3">
      <c r="A372" s="15">
        <v>4</v>
      </c>
      <c r="B372" s="41">
        <v>2</v>
      </c>
      <c r="C372" s="41" t="s">
        <v>80</v>
      </c>
      <c r="D372" s="41" t="s">
        <v>29</v>
      </c>
      <c r="E372" s="15" t="s">
        <v>42</v>
      </c>
      <c r="F372" s="15" t="s">
        <v>59</v>
      </c>
      <c r="G372" s="5"/>
    </row>
    <row r="373" spans="1:7" x14ac:dyDescent="0.3">
      <c r="A373" s="4">
        <v>4</v>
      </c>
      <c r="B373" s="43">
        <v>1</v>
      </c>
      <c r="C373" s="43" t="s">
        <v>81</v>
      </c>
      <c r="D373" s="43" t="s">
        <v>0</v>
      </c>
      <c r="E373" s="4" t="s">
        <v>41</v>
      </c>
      <c r="F373" s="4" t="s">
        <v>69</v>
      </c>
      <c r="G373" s="5"/>
    </row>
    <row r="374" spans="1:7" x14ac:dyDescent="0.3">
      <c r="A374" s="15">
        <v>4</v>
      </c>
      <c r="B374" s="42">
        <v>1</v>
      </c>
      <c r="C374" s="42" t="s">
        <v>81</v>
      </c>
      <c r="D374" s="42" t="s">
        <v>40</v>
      </c>
      <c r="E374" s="15" t="s">
        <v>9</v>
      </c>
      <c r="F374" s="15" t="s">
        <v>69</v>
      </c>
      <c r="G374" s="5"/>
    </row>
    <row r="375" spans="1:7" x14ac:dyDescent="0.3">
      <c r="A375" s="4">
        <v>4</v>
      </c>
      <c r="B375" s="43">
        <v>1</v>
      </c>
      <c r="C375" s="43" t="s">
        <v>81</v>
      </c>
      <c r="D375" s="43" t="s">
        <v>0</v>
      </c>
      <c r="E375" s="4" t="s">
        <v>41</v>
      </c>
      <c r="F375" s="4" t="s">
        <v>72</v>
      </c>
      <c r="G375" s="5"/>
    </row>
    <row r="376" spans="1:7" x14ac:dyDescent="0.3">
      <c r="A376" s="15">
        <v>4</v>
      </c>
      <c r="B376" s="42">
        <v>2</v>
      </c>
      <c r="C376" s="42" t="s">
        <v>80</v>
      </c>
      <c r="D376" s="42" t="s">
        <v>40</v>
      </c>
      <c r="E376" s="15" t="s">
        <v>10</v>
      </c>
      <c r="F376" s="15" t="s">
        <v>72</v>
      </c>
      <c r="G376" s="5"/>
    </row>
    <row r="377" spans="1:7" x14ac:dyDescent="0.3">
      <c r="A377" s="4">
        <v>4</v>
      </c>
      <c r="B377" s="41">
        <v>1</v>
      </c>
      <c r="C377" s="41" t="s">
        <v>81</v>
      </c>
      <c r="D377" s="41" t="s">
        <v>29</v>
      </c>
      <c r="E377" s="4" t="s">
        <v>42</v>
      </c>
      <c r="F377" s="4" t="s">
        <v>65</v>
      </c>
      <c r="G377" s="5"/>
    </row>
    <row r="378" spans="1:7" x14ac:dyDescent="0.3">
      <c r="A378" s="15">
        <v>4</v>
      </c>
      <c r="B378" s="42">
        <v>2</v>
      </c>
      <c r="C378" s="42" t="s">
        <v>80</v>
      </c>
      <c r="D378" s="42" t="s">
        <v>0</v>
      </c>
      <c r="E378" s="15" t="s">
        <v>41</v>
      </c>
      <c r="F378" s="15" t="s">
        <v>70</v>
      </c>
      <c r="G378" s="5"/>
    </row>
    <row r="379" spans="1:7" x14ac:dyDescent="0.3">
      <c r="A379" s="4">
        <v>4</v>
      </c>
      <c r="B379" s="43">
        <v>2</v>
      </c>
      <c r="C379" s="43" t="s">
        <v>80</v>
      </c>
      <c r="D379" s="43" t="s">
        <v>40</v>
      </c>
      <c r="E379" s="4" t="s">
        <v>9</v>
      </c>
      <c r="F379" s="4" t="s">
        <v>70</v>
      </c>
      <c r="G379" s="5"/>
    </row>
    <row r="380" spans="1:7" x14ac:dyDescent="0.3">
      <c r="A380" s="15">
        <v>4</v>
      </c>
      <c r="B380" s="42">
        <v>2</v>
      </c>
      <c r="C380" s="42" t="s">
        <v>80</v>
      </c>
      <c r="D380" s="42" t="s">
        <v>0</v>
      </c>
      <c r="E380" s="15" t="s">
        <v>41</v>
      </c>
      <c r="F380" s="15" t="s">
        <v>74</v>
      </c>
      <c r="G380" s="5"/>
    </row>
    <row r="381" spans="1:7" x14ac:dyDescent="0.3">
      <c r="A381" s="4">
        <v>4</v>
      </c>
      <c r="B381" s="43">
        <v>1</v>
      </c>
      <c r="C381" s="43" t="s">
        <v>81</v>
      </c>
      <c r="D381" s="43" t="s">
        <v>40</v>
      </c>
      <c r="E381" s="4" t="s">
        <v>10</v>
      </c>
      <c r="F381" s="4" t="s">
        <v>74</v>
      </c>
      <c r="G381" s="5"/>
    </row>
    <row r="382" spans="1:7" x14ac:dyDescent="0.3">
      <c r="A382" s="15">
        <v>4</v>
      </c>
      <c r="B382" s="41">
        <v>2</v>
      </c>
      <c r="C382" s="41" t="s">
        <v>80</v>
      </c>
      <c r="D382" s="41" t="s">
        <v>29</v>
      </c>
      <c r="E382" s="15" t="s">
        <v>42</v>
      </c>
      <c r="F382" s="15" t="s">
        <v>61</v>
      </c>
      <c r="G382" s="5"/>
    </row>
    <row r="383" spans="1:7" x14ac:dyDescent="0.3">
      <c r="A383" s="4">
        <v>4</v>
      </c>
      <c r="B383" s="43">
        <v>1</v>
      </c>
      <c r="C383" s="43" t="s">
        <v>81</v>
      </c>
      <c r="D383" s="43" t="s">
        <v>0</v>
      </c>
      <c r="E383" s="4" t="s">
        <v>41</v>
      </c>
      <c r="F383" s="4" t="s">
        <v>71</v>
      </c>
      <c r="G383" s="5"/>
    </row>
    <row r="384" spans="1:7" x14ac:dyDescent="0.3">
      <c r="A384" s="15">
        <v>4</v>
      </c>
      <c r="B384" s="42">
        <v>2</v>
      </c>
      <c r="C384" s="42" t="s">
        <v>80</v>
      </c>
      <c r="D384" s="42" t="s">
        <v>40</v>
      </c>
      <c r="E384" s="15" t="s">
        <v>10</v>
      </c>
      <c r="F384" s="15" t="s">
        <v>71</v>
      </c>
      <c r="G384" s="5"/>
    </row>
    <row r="385" spans="1:7" x14ac:dyDescent="0.3">
      <c r="A385" s="15">
        <v>4</v>
      </c>
      <c r="B385" s="41">
        <v>2</v>
      </c>
      <c r="C385" s="41" t="s">
        <v>80</v>
      </c>
      <c r="D385" s="41" t="s">
        <v>29</v>
      </c>
      <c r="E385" s="15" t="s">
        <v>42</v>
      </c>
      <c r="F385" s="15" t="s">
        <v>60</v>
      </c>
      <c r="G385" s="5"/>
    </row>
    <row r="386" spans="1:7" x14ac:dyDescent="0.3">
      <c r="A386" s="4">
        <v>4</v>
      </c>
      <c r="B386" s="43">
        <v>2</v>
      </c>
      <c r="C386" s="43" t="s">
        <v>80</v>
      </c>
      <c r="D386" s="43" t="s">
        <v>0</v>
      </c>
      <c r="E386" s="4" t="s">
        <v>41</v>
      </c>
      <c r="F386" s="4" t="s">
        <v>68</v>
      </c>
      <c r="G386" s="5"/>
    </row>
    <row r="387" spans="1:7" x14ac:dyDescent="0.3">
      <c r="A387" s="15">
        <v>4</v>
      </c>
      <c r="B387" s="42">
        <v>2</v>
      </c>
      <c r="C387" s="42" t="s">
        <v>80</v>
      </c>
      <c r="D387" s="42" t="s">
        <v>40</v>
      </c>
      <c r="E387" s="15" t="s">
        <v>9</v>
      </c>
      <c r="F387" s="15" t="s">
        <v>68</v>
      </c>
      <c r="G387" s="5"/>
    </row>
    <row r="388" spans="1:7" x14ac:dyDescent="0.3">
      <c r="A388" s="4">
        <v>4</v>
      </c>
      <c r="B388" s="41">
        <v>1</v>
      </c>
      <c r="C388" s="41" t="s">
        <v>81</v>
      </c>
      <c r="D388" s="41" t="s">
        <v>29</v>
      </c>
      <c r="E388" s="4" t="s">
        <v>42</v>
      </c>
      <c r="F388" s="4" t="s">
        <v>66</v>
      </c>
      <c r="G388" s="5"/>
    </row>
    <row r="389" spans="1:7" x14ac:dyDescent="0.3">
      <c r="A389" s="4">
        <v>4</v>
      </c>
      <c r="B389" s="41">
        <v>2</v>
      </c>
      <c r="C389" s="41" t="s">
        <v>80</v>
      </c>
      <c r="D389" s="41" t="s">
        <v>29</v>
      </c>
      <c r="E389" s="4" t="s">
        <v>42</v>
      </c>
      <c r="F389" s="4" t="s">
        <v>64</v>
      </c>
      <c r="G389" s="5"/>
    </row>
    <row r="390" spans="1:7" x14ac:dyDescent="0.3">
      <c r="A390" s="4">
        <v>4</v>
      </c>
      <c r="B390" s="43">
        <v>2</v>
      </c>
      <c r="C390" s="43" t="s">
        <v>80</v>
      </c>
      <c r="D390" s="43" t="s">
        <v>0</v>
      </c>
      <c r="E390" s="4" t="s">
        <v>41</v>
      </c>
      <c r="F390" s="4" t="s">
        <v>67</v>
      </c>
      <c r="G390" s="5"/>
    </row>
    <row r="391" spans="1:7" x14ac:dyDescent="0.3">
      <c r="A391" s="15">
        <v>4</v>
      </c>
      <c r="B391" s="42">
        <v>1</v>
      </c>
      <c r="C391" s="42" t="s">
        <v>81</v>
      </c>
      <c r="D391" s="42" t="s">
        <v>40</v>
      </c>
      <c r="E391" s="15" t="s">
        <v>10</v>
      </c>
      <c r="F391" s="15" t="s">
        <v>67</v>
      </c>
      <c r="G391" s="5"/>
    </row>
    <row r="392" spans="1:7" x14ac:dyDescent="0.3">
      <c r="A392" s="15">
        <v>4</v>
      </c>
      <c r="B392" s="41">
        <v>1</v>
      </c>
      <c r="C392" s="41" t="s">
        <v>81</v>
      </c>
      <c r="D392" s="41" t="s">
        <v>29</v>
      </c>
      <c r="E392" s="15" t="s">
        <v>42</v>
      </c>
      <c r="F392" s="15" t="s">
        <v>62</v>
      </c>
      <c r="G392" s="5"/>
    </row>
    <row r="393" spans="1:7" x14ac:dyDescent="0.3">
      <c r="A393" s="4">
        <v>4</v>
      </c>
      <c r="B393" s="43">
        <v>1</v>
      </c>
      <c r="C393" s="43" t="s">
        <v>81</v>
      </c>
      <c r="D393" s="43" t="s">
        <v>0</v>
      </c>
      <c r="E393" s="4" t="s">
        <v>41</v>
      </c>
      <c r="F393" s="4" t="s">
        <v>73</v>
      </c>
      <c r="G393" s="5"/>
    </row>
    <row r="394" spans="1:7" x14ac:dyDescent="0.3">
      <c r="A394" s="15">
        <v>4</v>
      </c>
      <c r="B394" s="42">
        <v>1</v>
      </c>
      <c r="C394" s="42" t="s">
        <v>81</v>
      </c>
      <c r="D394" s="42" t="s">
        <v>40</v>
      </c>
      <c r="E394" s="15" t="s">
        <v>9</v>
      </c>
      <c r="F394" s="15" t="s">
        <v>73</v>
      </c>
      <c r="G394" s="5"/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65090-162B-447F-9E38-FAB548FB2109}">
  <dimension ref="A1:M18"/>
  <sheetViews>
    <sheetView tabSelected="1" workbookViewId="0">
      <selection activeCell="D21" sqref="D21"/>
    </sheetView>
  </sheetViews>
  <sheetFormatPr defaultRowHeight="14.4" x14ac:dyDescent="0.3"/>
  <cols>
    <col min="3" max="3" width="10.88671875" customWidth="1"/>
    <col min="4" max="4" width="10.33203125" customWidth="1"/>
    <col min="6" max="6" width="11.21875" customWidth="1"/>
    <col min="7" max="7" width="9.88671875" customWidth="1"/>
    <col min="8" max="8" width="10.88671875" customWidth="1"/>
    <col min="9" max="9" width="9.77734375" customWidth="1"/>
    <col min="10" max="10" width="24" customWidth="1"/>
    <col min="11" max="11" width="21.77734375" customWidth="1"/>
    <col min="12" max="12" width="18.33203125" customWidth="1"/>
    <col min="13" max="13" width="17" customWidth="1"/>
  </cols>
  <sheetData>
    <row r="1" spans="1:13" x14ac:dyDescent="0.3">
      <c r="A1" t="s">
        <v>83</v>
      </c>
      <c r="B1" t="s">
        <v>136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128</v>
      </c>
      <c r="I1" t="s">
        <v>140</v>
      </c>
      <c r="J1" t="s">
        <v>137</v>
      </c>
      <c r="K1" t="s">
        <v>138</v>
      </c>
      <c r="L1" t="s">
        <v>139</v>
      </c>
      <c r="M1" t="s">
        <v>141</v>
      </c>
    </row>
    <row r="2" spans="1:13" x14ac:dyDescent="0.3">
      <c r="A2">
        <v>1</v>
      </c>
      <c r="B2">
        <v>23</v>
      </c>
      <c r="C2">
        <v>2</v>
      </c>
      <c r="D2" t="s">
        <v>80</v>
      </c>
      <c r="E2" t="s">
        <v>29</v>
      </c>
      <c r="F2" t="s">
        <v>42</v>
      </c>
      <c r="G2" t="s">
        <v>73</v>
      </c>
      <c r="J2">
        <v>1</v>
      </c>
      <c r="K2">
        <v>0</v>
      </c>
      <c r="L2">
        <v>0</v>
      </c>
      <c r="M2">
        <v>1</v>
      </c>
    </row>
    <row r="3" spans="1:13" x14ac:dyDescent="0.3">
      <c r="A3">
        <v>2</v>
      </c>
      <c r="B3">
        <v>34</v>
      </c>
      <c r="C3">
        <v>2</v>
      </c>
      <c r="D3" t="s">
        <v>80</v>
      </c>
      <c r="E3" t="s">
        <v>29</v>
      </c>
      <c r="F3" t="s">
        <v>42</v>
      </c>
      <c r="G3" t="s">
        <v>45</v>
      </c>
      <c r="J3">
        <v>1</v>
      </c>
      <c r="K3">
        <v>0</v>
      </c>
      <c r="L3">
        <v>0</v>
      </c>
      <c r="M3">
        <v>1</v>
      </c>
    </row>
    <row r="4" spans="1:13" x14ac:dyDescent="0.3">
      <c r="A4">
        <v>4</v>
      </c>
      <c r="B4">
        <v>210</v>
      </c>
      <c r="C4">
        <v>2</v>
      </c>
      <c r="D4" t="s">
        <v>80</v>
      </c>
      <c r="E4" t="s">
        <v>29</v>
      </c>
      <c r="F4" t="s">
        <v>42</v>
      </c>
      <c r="G4" t="s">
        <v>61</v>
      </c>
      <c r="J4">
        <v>1</v>
      </c>
      <c r="K4">
        <v>0</v>
      </c>
      <c r="L4">
        <v>0</v>
      </c>
      <c r="M4">
        <v>1</v>
      </c>
    </row>
    <row r="5" spans="1:13" x14ac:dyDescent="0.3">
      <c r="A5">
        <v>2</v>
      </c>
      <c r="B5">
        <v>238</v>
      </c>
      <c r="C5">
        <v>2</v>
      </c>
      <c r="D5" t="s">
        <v>80</v>
      </c>
      <c r="E5" t="s">
        <v>29</v>
      </c>
      <c r="F5" t="s">
        <v>42</v>
      </c>
      <c r="G5" t="s">
        <v>46</v>
      </c>
      <c r="J5">
        <v>1</v>
      </c>
      <c r="K5">
        <v>0</v>
      </c>
      <c r="L5">
        <v>0</v>
      </c>
      <c r="M5">
        <v>1</v>
      </c>
    </row>
    <row r="6" spans="1:13" x14ac:dyDescent="0.3">
      <c r="A6">
        <v>3</v>
      </c>
      <c r="B6">
        <v>386</v>
      </c>
      <c r="C6">
        <v>2</v>
      </c>
      <c r="D6" t="s">
        <v>80</v>
      </c>
      <c r="E6" t="s">
        <v>29</v>
      </c>
      <c r="F6" t="s">
        <v>42</v>
      </c>
      <c r="G6" t="s">
        <v>55</v>
      </c>
      <c r="J6">
        <v>1</v>
      </c>
      <c r="K6">
        <v>0</v>
      </c>
      <c r="L6">
        <v>0</v>
      </c>
      <c r="M6">
        <v>1</v>
      </c>
    </row>
    <row r="7" spans="1:13" x14ac:dyDescent="0.3">
      <c r="A7">
        <v>1</v>
      </c>
      <c r="B7">
        <v>232</v>
      </c>
      <c r="C7">
        <v>2</v>
      </c>
      <c r="D7" t="s">
        <v>80</v>
      </c>
      <c r="E7" t="s">
        <v>29</v>
      </c>
      <c r="F7" t="s">
        <v>42</v>
      </c>
      <c r="G7" t="s">
        <v>68</v>
      </c>
      <c r="J7">
        <v>1</v>
      </c>
      <c r="K7">
        <v>0</v>
      </c>
      <c r="L7">
        <v>0</v>
      </c>
      <c r="M7">
        <v>1</v>
      </c>
    </row>
    <row r="8" spans="1:13" x14ac:dyDescent="0.3">
      <c r="A8">
        <v>4</v>
      </c>
      <c r="B8">
        <v>395</v>
      </c>
      <c r="C8">
        <v>2</v>
      </c>
      <c r="D8" t="s">
        <v>80</v>
      </c>
      <c r="E8" t="s">
        <v>29</v>
      </c>
      <c r="F8" t="s">
        <v>42</v>
      </c>
      <c r="G8" t="s">
        <v>66</v>
      </c>
      <c r="J8">
        <v>1</v>
      </c>
      <c r="K8">
        <v>0</v>
      </c>
      <c r="L8">
        <v>0</v>
      </c>
      <c r="M8">
        <v>1</v>
      </c>
    </row>
    <row r="9" spans="1:13" x14ac:dyDescent="0.3">
      <c r="A9">
        <v>1</v>
      </c>
      <c r="B9">
        <v>228</v>
      </c>
      <c r="C9">
        <v>2</v>
      </c>
      <c r="D9" t="s">
        <v>80</v>
      </c>
      <c r="E9" t="s">
        <v>29</v>
      </c>
      <c r="F9" t="s">
        <v>42</v>
      </c>
      <c r="G9" t="s">
        <v>67</v>
      </c>
      <c r="J9">
        <v>1</v>
      </c>
      <c r="K9">
        <v>0</v>
      </c>
      <c r="L9">
        <v>0</v>
      </c>
      <c r="M9">
        <v>1</v>
      </c>
    </row>
    <row r="15" spans="1:13" x14ac:dyDescent="0.3">
      <c r="G15" s="84" t="s">
        <v>44</v>
      </c>
      <c r="H15" s="85" t="s">
        <v>159</v>
      </c>
    </row>
    <row r="16" spans="1:13" x14ac:dyDescent="0.3">
      <c r="G16" s="84" t="s">
        <v>71</v>
      </c>
      <c r="H16" s="85" t="s">
        <v>158</v>
      </c>
    </row>
    <row r="17" spans="7:8" x14ac:dyDescent="0.3">
      <c r="G17" s="84" t="s">
        <v>64</v>
      </c>
      <c r="H17" s="85" t="s">
        <v>157</v>
      </c>
    </row>
    <row r="18" spans="7:8" x14ac:dyDescent="0.3">
      <c r="G18" s="84" t="s">
        <v>50</v>
      </c>
      <c r="H18" s="85" t="s">
        <v>159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CAA9E-E51C-41CF-908F-48896475280A}">
  <dimension ref="A1:M19"/>
  <sheetViews>
    <sheetView workbookViewId="0">
      <selection activeCell="H28" sqref="H28"/>
    </sheetView>
  </sheetViews>
  <sheetFormatPr defaultRowHeight="14.4" x14ac:dyDescent="0.3"/>
  <cols>
    <col min="3" max="3" width="10.88671875" customWidth="1"/>
    <col min="4" max="4" width="10.33203125" customWidth="1"/>
    <col min="6" max="6" width="11.21875" customWidth="1"/>
    <col min="7" max="7" width="9.88671875" customWidth="1"/>
    <col min="8" max="8" width="10.88671875" customWidth="1"/>
    <col min="9" max="9" width="9.77734375" customWidth="1"/>
    <col min="10" max="10" width="24" customWidth="1"/>
    <col min="11" max="11" width="21.77734375" customWidth="1"/>
    <col min="12" max="12" width="18.33203125" customWidth="1"/>
    <col min="13" max="13" width="17" customWidth="1"/>
  </cols>
  <sheetData>
    <row r="1" spans="1:13" x14ac:dyDescent="0.3">
      <c r="A1" t="s">
        <v>83</v>
      </c>
      <c r="B1" t="s">
        <v>136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128</v>
      </c>
      <c r="I1" t="s">
        <v>140</v>
      </c>
      <c r="J1" t="s">
        <v>137</v>
      </c>
      <c r="K1" t="s">
        <v>138</v>
      </c>
      <c r="L1" t="s">
        <v>139</v>
      </c>
      <c r="M1" t="s">
        <v>141</v>
      </c>
    </row>
    <row r="2" spans="1:13" x14ac:dyDescent="0.3">
      <c r="A2">
        <v>3</v>
      </c>
      <c r="B2">
        <v>275</v>
      </c>
      <c r="C2">
        <v>1</v>
      </c>
      <c r="D2" t="s">
        <v>81</v>
      </c>
      <c r="E2" t="s">
        <v>29</v>
      </c>
      <c r="F2" t="s">
        <v>42</v>
      </c>
      <c r="G2" t="s">
        <v>58</v>
      </c>
      <c r="J2">
        <v>1</v>
      </c>
      <c r="K2">
        <v>0</v>
      </c>
      <c r="L2">
        <v>0</v>
      </c>
      <c r="M2">
        <v>1</v>
      </c>
    </row>
    <row r="3" spans="1:13" x14ac:dyDescent="0.3">
      <c r="A3">
        <v>4</v>
      </c>
      <c r="B3">
        <v>296</v>
      </c>
      <c r="C3">
        <v>1</v>
      </c>
      <c r="D3" t="s">
        <v>81</v>
      </c>
      <c r="E3" t="s">
        <v>29</v>
      </c>
      <c r="F3" t="s">
        <v>42</v>
      </c>
      <c r="G3" t="s">
        <v>59</v>
      </c>
      <c r="J3">
        <v>1</v>
      </c>
      <c r="K3">
        <v>0</v>
      </c>
      <c r="L3">
        <v>0</v>
      </c>
      <c r="M3">
        <v>1</v>
      </c>
    </row>
    <row r="4" spans="1:13" x14ac:dyDescent="0.3">
      <c r="A4">
        <v>1</v>
      </c>
      <c r="B4">
        <v>320</v>
      </c>
      <c r="C4">
        <v>1</v>
      </c>
      <c r="D4" t="s">
        <v>81</v>
      </c>
      <c r="E4" t="s">
        <v>29</v>
      </c>
      <c r="F4" t="s">
        <v>42</v>
      </c>
      <c r="G4" t="s">
        <v>74</v>
      </c>
      <c r="J4">
        <v>1</v>
      </c>
      <c r="K4">
        <v>0</v>
      </c>
      <c r="L4">
        <v>0</v>
      </c>
      <c r="M4">
        <v>1</v>
      </c>
    </row>
    <row r="5" spans="1:13" x14ac:dyDescent="0.3">
      <c r="A5">
        <v>1</v>
      </c>
      <c r="B5">
        <v>217</v>
      </c>
      <c r="C5">
        <v>1</v>
      </c>
      <c r="D5" t="s">
        <v>81</v>
      </c>
      <c r="E5" t="s">
        <v>29</v>
      </c>
      <c r="F5" t="s">
        <v>42</v>
      </c>
      <c r="G5" t="s">
        <v>73</v>
      </c>
      <c r="J5">
        <v>1</v>
      </c>
      <c r="K5">
        <v>0</v>
      </c>
      <c r="L5">
        <v>0</v>
      </c>
      <c r="M5">
        <v>1</v>
      </c>
    </row>
    <row r="6" spans="1:13" x14ac:dyDescent="0.3">
      <c r="A6">
        <v>3</v>
      </c>
      <c r="B6">
        <v>376</v>
      </c>
      <c r="C6">
        <v>1</v>
      </c>
      <c r="D6" t="s">
        <v>81</v>
      </c>
      <c r="E6" t="s">
        <v>29</v>
      </c>
      <c r="F6" t="s">
        <v>42</v>
      </c>
      <c r="G6" t="s">
        <v>56</v>
      </c>
      <c r="J6">
        <v>1</v>
      </c>
      <c r="K6">
        <v>0</v>
      </c>
      <c r="L6">
        <v>0</v>
      </c>
      <c r="M6">
        <v>1</v>
      </c>
    </row>
    <row r="7" spans="1:13" x14ac:dyDescent="0.3">
      <c r="A7">
        <v>1</v>
      </c>
      <c r="B7">
        <v>132</v>
      </c>
      <c r="C7">
        <v>1</v>
      </c>
      <c r="D7" t="s">
        <v>81</v>
      </c>
      <c r="E7" t="s">
        <v>29</v>
      </c>
      <c r="F7" t="s">
        <v>42</v>
      </c>
      <c r="G7" t="s">
        <v>72</v>
      </c>
      <c r="J7">
        <v>1</v>
      </c>
      <c r="K7">
        <v>0</v>
      </c>
      <c r="L7">
        <v>0</v>
      </c>
      <c r="M7">
        <v>1</v>
      </c>
    </row>
    <row r="8" spans="1:13" x14ac:dyDescent="0.3">
      <c r="A8">
        <v>2</v>
      </c>
      <c r="B8">
        <v>156</v>
      </c>
      <c r="C8">
        <v>1</v>
      </c>
      <c r="D8" t="s">
        <v>81</v>
      </c>
      <c r="E8" t="s">
        <v>29</v>
      </c>
      <c r="F8" t="s">
        <v>42</v>
      </c>
      <c r="G8" t="s">
        <v>46</v>
      </c>
      <c r="J8">
        <v>1</v>
      </c>
      <c r="K8">
        <v>0</v>
      </c>
      <c r="L8">
        <v>0</v>
      </c>
      <c r="M8">
        <v>1</v>
      </c>
    </row>
    <row r="9" spans="1:13" x14ac:dyDescent="0.3">
      <c r="A9">
        <v>1</v>
      </c>
      <c r="B9">
        <v>319</v>
      </c>
      <c r="C9">
        <v>1</v>
      </c>
      <c r="D9" t="s">
        <v>81</v>
      </c>
      <c r="E9" t="s">
        <v>29</v>
      </c>
      <c r="F9" t="s">
        <v>42</v>
      </c>
      <c r="G9" t="s">
        <v>71</v>
      </c>
      <c r="J9">
        <v>1</v>
      </c>
      <c r="K9">
        <v>0</v>
      </c>
      <c r="L9">
        <v>0</v>
      </c>
      <c r="M9">
        <v>1</v>
      </c>
    </row>
    <row r="10" spans="1:13" x14ac:dyDescent="0.3">
      <c r="A10">
        <v>2</v>
      </c>
      <c r="B10">
        <v>257</v>
      </c>
      <c r="C10">
        <v>1</v>
      </c>
      <c r="D10" t="s">
        <v>81</v>
      </c>
      <c r="E10" t="s">
        <v>29</v>
      </c>
      <c r="F10" t="s">
        <v>42</v>
      </c>
      <c r="G10" t="s">
        <v>48</v>
      </c>
      <c r="J10">
        <v>1</v>
      </c>
      <c r="K10">
        <v>0</v>
      </c>
      <c r="L10">
        <v>0</v>
      </c>
      <c r="M10">
        <v>1</v>
      </c>
    </row>
    <row r="14" spans="1:13" x14ac:dyDescent="0.3">
      <c r="G14" s="84" t="s">
        <v>57</v>
      </c>
      <c r="H14" s="85" t="s">
        <v>156</v>
      </c>
    </row>
    <row r="15" spans="1:13" x14ac:dyDescent="0.3">
      <c r="G15" s="84" t="s">
        <v>155</v>
      </c>
      <c r="H15" s="85" t="s">
        <v>157</v>
      </c>
    </row>
    <row r="16" spans="1:13" x14ac:dyDescent="0.3">
      <c r="G16" s="84" t="s">
        <v>55</v>
      </c>
      <c r="H16" s="85" t="s">
        <v>156</v>
      </c>
    </row>
    <row r="17" spans="7:8" x14ac:dyDescent="0.3">
      <c r="G17" s="84" t="s">
        <v>47</v>
      </c>
      <c r="H17" s="85" t="s">
        <v>159</v>
      </c>
    </row>
    <row r="18" spans="7:8" x14ac:dyDescent="0.3">
      <c r="G18" s="84" t="s">
        <v>69</v>
      </c>
      <c r="H18" s="85" t="s">
        <v>158</v>
      </c>
    </row>
    <row r="19" spans="7:8" x14ac:dyDescent="0.3">
      <c r="G19" s="84" t="s">
        <v>154</v>
      </c>
      <c r="H19" s="85" t="s">
        <v>158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29A89-2843-4D6B-A753-1DD2CDB3AFE8}">
  <dimension ref="A1:M19"/>
  <sheetViews>
    <sheetView workbookViewId="0">
      <selection activeCell="I26" sqref="I26"/>
    </sheetView>
  </sheetViews>
  <sheetFormatPr defaultRowHeight="14.4" x14ac:dyDescent="0.3"/>
  <cols>
    <col min="3" max="3" width="10.88671875" customWidth="1"/>
    <col min="4" max="4" width="10.33203125" customWidth="1"/>
    <col min="6" max="6" width="11.21875" customWidth="1"/>
    <col min="7" max="7" width="9.88671875" customWidth="1"/>
    <col min="8" max="8" width="10.88671875" customWidth="1"/>
    <col min="9" max="9" width="9.77734375" customWidth="1"/>
    <col min="10" max="10" width="24" customWidth="1"/>
    <col min="11" max="11" width="21.77734375" customWidth="1"/>
    <col min="12" max="12" width="18.33203125" customWidth="1"/>
    <col min="13" max="13" width="17" customWidth="1"/>
  </cols>
  <sheetData>
    <row r="1" spans="1:13" x14ac:dyDescent="0.3">
      <c r="A1" t="s">
        <v>83</v>
      </c>
      <c r="B1" t="s">
        <v>136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128</v>
      </c>
      <c r="I1" t="s">
        <v>140</v>
      </c>
      <c r="J1" t="s">
        <v>137</v>
      </c>
      <c r="K1" t="s">
        <v>138</v>
      </c>
      <c r="L1" t="s">
        <v>139</v>
      </c>
      <c r="M1" t="s">
        <v>141</v>
      </c>
    </row>
    <row r="2" spans="1:13" x14ac:dyDescent="0.3">
      <c r="A2">
        <v>1</v>
      </c>
      <c r="B2">
        <v>24</v>
      </c>
      <c r="C2">
        <v>1</v>
      </c>
      <c r="D2" t="s">
        <v>81</v>
      </c>
      <c r="E2" t="s">
        <v>29</v>
      </c>
      <c r="F2" t="s">
        <v>42</v>
      </c>
      <c r="G2" t="s">
        <v>67</v>
      </c>
      <c r="I2" s="1" t="s">
        <v>151</v>
      </c>
      <c r="J2">
        <v>0</v>
      </c>
      <c r="K2">
        <v>0</v>
      </c>
      <c r="L2">
        <v>0</v>
      </c>
      <c r="M2">
        <v>1</v>
      </c>
    </row>
    <row r="3" spans="1:13" x14ac:dyDescent="0.3">
      <c r="A3">
        <v>3</v>
      </c>
      <c r="B3">
        <v>62</v>
      </c>
      <c r="C3">
        <v>1</v>
      </c>
      <c r="D3" t="s">
        <v>81</v>
      </c>
      <c r="E3" t="s">
        <v>29</v>
      </c>
      <c r="F3" t="s">
        <v>42</v>
      </c>
      <c r="G3" t="s">
        <v>55</v>
      </c>
      <c r="J3">
        <v>0</v>
      </c>
      <c r="K3">
        <v>0</v>
      </c>
      <c r="L3">
        <v>0</v>
      </c>
      <c r="M3">
        <v>1</v>
      </c>
    </row>
    <row r="4" spans="1:13" x14ac:dyDescent="0.3">
      <c r="A4">
        <v>3</v>
      </c>
      <c r="B4">
        <v>76</v>
      </c>
      <c r="C4">
        <v>1</v>
      </c>
      <c r="D4" t="s">
        <v>81</v>
      </c>
      <c r="E4" t="s">
        <v>29</v>
      </c>
      <c r="F4" t="s">
        <v>42</v>
      </c>
      <c r="G4" t="s">
        <v>51</v>
      </c>
      <c r="J4">
        <v>0</v>
      </c>
      <c r="K4">
        <v>0</v>
      </c>
      <c r="L4">
        <v>0</v>
      </c>
      <c r="M4">
        <v>1</v>
      </c>
    </row>
    <row r="5" spans="1:13" x14ac:dyDescent="0.3">
      <c r="A5">
        <v>4</v>
      </c>
      <c r="B5">
        <v>85</v>
      </c>
      <c r="C5">
        <v>1</v>
      </c>
      <c r="D5" t="s">
        <v>81</v>
      </c>
      <c r="E5" t="s">
        <v>29</v>
      </c>
      <c r="F5" t="s">
        <v>42</v>
      </c>
      <c r="G5" t="s">
        <v>60</v>
      </c>
      <c r="J5">
        <v>0</v>
      </c>
      <c r="K5">
        <v>0</v>
      </c>
      <c r="L5">
        <v>0</v>
      </c>
      <c r="M5">
        <v>1</v>
      </c>
    </row>
    <row r="6" spans="1:13" x14ac:dyDescent="0.3">
      <c r="A6">
        <v>4</v>
      </c>
      <c r="B6">
        <v>91</v>
      </c>
      <c r="C6">
        <v>1</v>
      </c>
      <c r="D6" t="s">
        <v>81</v>
      </c>
      <c r="E6" t="s">
        <v>29</v>
      </c>
      <c r="F6" t="s">
        <v>42</v>
      </c>
      <c r="G6" t="s">
        <v>63</v>
      </c>
      <c r="I6" s="1" t="s">
        <v>151</v>
      </c>
      <c r="J6">
        <v>0</v>
      </c>
      <c r="K6">
        <v>0</v>
      </c>
      <c r="L6">
        <v>0</v>
      </c>
      <c r="M6">
        <v>1</v>
      </c>
    </row>
    <row r="7" spans="1:13" x14ac:dyDescent="0.3">
      <c r="A7">
        <v>4</v>
      </c>
      <c r="B7">
        <v>103</v>
      </c>
      <c r="C7">
        <v>1</v>
      </c>
      <c r="D7" t="s">
        <v>81</v>
      </c>
      <c r="E7" t="s">
        <v>29</v>
      </c>
      <c r="F7" t="s">
        <v>42</v>
      </c>
      <c r="G7" t="s">
        <v>64</v>
      </c>
      <c r="I7" s="1" t="s">
        <v>151</v>
      </c>
      <c r="J7">
        <v>0</v>
      </c>
      <c r="K7">
        <v>0</v>
      </c>
      <c r="L7">
        <v>0</v>
      </c>
      <c r="M7">
        <v>1</v>
      </c>
    </row>
    <row r="8" spans="1:13" x14ac:dyDescent="0.3">
      <c r="A8">
        <v>1</v>
      </c>
      <c r="B8">
        <v>126</v>
      </c>
      <c r="C8">
        <v>1</v>
      </c>
      <c r="D8" t="s">
        <v>81</v>
      </c>
      <c r="E8" t="s">
        <v>29</v>
      </c>
      <c r="F8" t="s">
        <v>42</v>
      </c>
      <c r="G8" t="s">
        <v>69</v>
      </c>
      <c r="J8">
        <v>0</v>
      </c>
      <c r="K8">
        <v>0</v>
      </c>
      <c r="L8">
        <v>0</v>
      </c>
      <c r="M8">
        <v>1</v>
      </c>
    </row>
    <row r="9" spans="1:13" x14ac:dyDescent="0.3">
      <c r="A9">
        <v>2</v>
      </c>
      <c r="B9">
        <v>146</v>
      </c>
      <c r="C9">
        <v>1</v>
      </c>
      <c r="D9" t="s">
        <v>81</v>
      </c>
      <c r="E9" t="s">
        <v>29</v>
      </c>
      <c r="F9" t="s">
        <v>42</v>
      </c>
      <c r="G9" t="s">
        <v>47</v>
      </c>
      <c r="J9">
        <v>0</v>
      </c>
      <c r="K9">
        <v>0</v>
      </c>
      <c r="L9">
        <v>0</v>
      </c>
      <c r="M9">
        <v>1</v>
      </c>
    </row>
    <row r="10" spans="1:13" x14ac:dyDescent="0.3">
      <c r="A10">
        <v>3</v>
      </c>
      <c r="B10">
        <v>170</v>
      </c>
      <c r="C10">
        <v>1</v>
      </c>
      <c r="D10" t="s">
        <v>81</v>
      </c>
      <c r="E10" t="s">
        <v>29</v>
      </c>
      <c r="F10" t="s">
        <v>42</v>
      </c>
      <c r="G10" t="s">
        <v>57</v>
      </c>
      <c r="J10">
        <v>0</v>
      </c>
      <c r="K10">
        <v>0</v>
      </c>
      <c r="L10">
        <v>0</v>
      </c>
      <c r="M10">
        <v>1</v>
      </c>
    </row>
    <row r="11" spans="1:13" x14ac:dyDescent="0.3">
      <c r="A11">
        <v>3</v>
      </c>
      <c r="B11">
        <v>176</v>
      </c>
      <c r="C11">
        <v>1</v>
      </c>
      <c r="D11" t="s">
        <v>81</v>
      </c>
      <c r="E11" t="s">
        <v>29</v>
      </c>
      <c r="F11" t="s">
        <v>42</v>
      </c>
      <c r="H11" t="s">
        <v>127</v>
      </c>
      <c r="I11" t="s">
        <v>151</v>
      </c>
      <c r="J11">
        <v>0</v>
      </c>
      <c r="K11">
        <v>0</v>
      </c>
      <c r="L11">
        <v>0</v>
      </c>
      <c r="M11">
        <v>1</v>
      </c>
    </row>
    <row r="12" spans="1:13" x14ac:dyDescent="0.3">
      <c r="A12">
        <v>4</v>
      </c>
      <c r="B12">
        <v>208</v>
      </c>
      <c r="C12">
        <v>1</v>
      </c>
      <c r="D12" t="s">
        <v>81</v>
      </c>
      <c r="E12" t="s">
        <v>29</v>
      </c>
      <c r="F12" t="s">
        <v>42</v>
      </c>
      <c r="G12" t="s">
        <v>60</v>
      </c>
      <c r="J12">
        <v>0</v>
      </c>
      <c r="K12">
        <v>0</v>
      </c>
      <c r="L12">
        <v>0</v>
      </c>
      <c r="M12">
        <v>1</v>
      </c>
    </row>
    <row r="13" spans="1:13" x14ac:dyDescent="0.3">
      <c r="A13">
        <v>2</v>
      </c>
      <c r="B13">
        <v>236</v>
      </c>
      <c r="C13">
        <v>1</v>
      </c>
      <c r="D13" t="s">
        <v>81</v>
      </c>
      <c r="E13" t="s">
        <v>29</v>
      </c>
      <c r="F13" t="s">
        <v>42</v>
      </c>
      <c r="G13" t="s">
        <v>45</v>
      </c>
      <c r="J13">
        <v>0</v>
      </c>
      <c r="K13">
        <v>0</v>
      </c>
      <c r="L13">
        <v>0</v>
      </c>
      <c r="M13">
        <v>1</v>
      </c>
    </row>
    <row r="14" spans="1:13" x14ac:dyDescent="0.3">
      <c r="A14">
        <v>3</v>
      </c>
      <c r="B14">
        <v>278</v>
      </c>
      <c r="C14">
        <v>1</v>
      </c>
      <c r="D14" t="s">
        <v>81</v>
      </c>
      <c r="E14" t="s">
        <v>29</v>
      </c>
      <c r="F14" t="s">
        <v>42</v>
      </c>
      <c r="G14" t="s">
        <v>54</v>
      </c>
      <c r="I14" s="1" t="s">
        <v>151</v>
      </c>
      <c r="J14">
        <v>0</v>
      </c>
      <c r="K14">
        <v>0</v>
      </c>
      <c r="L14">
        <v>0</v>
      </c>
      <c r="M14">
        <v>1</v>
      </c>
    </row>
    <row r="15" spans="1:13" x14ac:dyDescent="0.3">
      <c r="A15">
        <v>4</v>
      </c>
      <c r="B15">
        <v>308</v>
      </c>
      <c r="C15">
        <v>1</v>
      </c>
      <c r="D15" t="s">
        <v>81</v>
      </c>
      <c r="E15" t="s">
        <v>29</v>
      </c>
      <c r="F15" t="s">
        <v>42</v>
      </c>
      <c r="G15" t="s">
        <v>61</v>
      </c>
      <c r="I15" s="1" t="s">
        <v>151</v>
      </c>
      <c r="J15">
        <v>0</v>
      </c>
      <c r="K15">
        <v>0</v>
      </c>
      <c r="L15">
        <v>0</v>
      </c>
      <c r="M15">
        <v>1</v>
      </c>
    </row>
    <row r="16" spans="1:13" x14ac:dyDescent="0.3">
      <c r="A16">
        <v>2</v>
      </c>
      <c r="B16">
        <v>345</v>
      </c>
      <c r="C16">
        <v>1</v>
      </c>
      <c r="D16" t="s">
        <v>81</v>
      </c>
      <c r="E16" t="s">
        <v>29</v>
      </c>
      <c r="F16" t="s">
        <v>42</v>
      </c>
      <c r="G16" t="s">
        <v>49</v>
      </c>
      <c r="I16" s="1" t="s">
        <v>151</v>
      </c>
      <c r="J16">
        <v>0</v>
      </c>
      <c r="K16">
        <v>0</v>
      </c>
      <c r="L16">
        <v>0</v>
      </c>
      <c r="M16">
        <v>1</v>
      </c>
    </row>
    <row r="17" spans="1:13" x14ac:dyDescent="0.3">
      <c r="A17">
        <v>3</v>
      </c>
      <c r="B17">
        <v>376</v>
      </c>
      <c r="C17">
        <v>1</v>
      </c>
      <c r="D17" t="s">
        <v>81</v>
      </c>
      <c r="E17" t="s">
        <v>29</v>
      </c>
      <c r="F17" t="s">
        <v>42</v>
      </c>
      <c r="G17" t="s">
        <v>52</v>
      </c>
      <c r="I17" s="1" t="s">
        <v>151</v>
      </c>
      <c r="J17">
        <v>0</v>
      </c>
      <c r="K17">
        <v>0</v>
      </c>
      <c r="L17">
        <v>0</v>
      </c>
      <c r="M17">
        <v>1</v>
      </c>
    </row>
    <row r="18" spans="1:13" x14ac:dyDescent="0.3">
      <c r="A18">
        <v>3</v>
      </c>
      <c r="B18">
        <v>383</v>
      </c>
      <c r="C18">
        <v>1</v>
      </c>
      <c r="D18" t="s">
        <v>81</v>
      </c>
      <c r="E18" t="s">
        <v>29</v>
      </c>
      <c r="F18" t="s">
        <v>42</v>
      </c>
      <c r="G18" t="s">
        <v>56</v>
      </c>
      <c r="J18">
        <v>0</v>
      </c>
      <c r="K18">
        <v>0</v>
      </c>
      <c r="L18">
        <v>0</v>
      </c>
      <c r="M18">
        <v>1</v>
      </c>
    </row>
    <row r="19" spans="1:13" x14ac:dyDescent="0.3">
      <c r="A19">
        <v>4</v>
      </c>
      <c r="B19">
        <v>413</v>
      </c>
      <c r="C19">
        <v>1</v>
      </c>
      <c r="D19" t="s">
        <v>81</v>
      </c>
      <c r="E19" t="s">
        <v>29</v>
      </c>
      <c r="F19" t="s">
        <v>42</v>
      </c>
      <c r="G19" t="s">
        <v>62</v>
      </c>
      <c r="J19">
        <v>0</v>
      </c>
      <c r="K19">
        <v>0</v>
      </c>
      <c r="L19">
        <v>0</v>
      </c>
      <c r="M19">
        <v>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01CDC-8156-4E6E-833E-F3B9CFA67712}">
  <dimension ref="A1:M23"/>
  <sheetViews>
    <sheetView workbookViewId="0">
      <selection activeCell="I10" sqref="I10"/>
    </sheetView>
  </sheetViews>
  <sheetFormatPr defaultRowHeight="14.4" x14ac:dyDescent="0.3"/>
  <cols>
    <col min="3" max="3" width="10.88671875" customWidth="1"/>
    <col min="4" max="4" width="10.33203125" customWidth="1"/>
    <col min="6" max="6" width="11.21875" customWidth="1"/>
    <col min="7" max="7" width="9.88671875" customWidth="1"/>
    <col min="8" max="8" width="10.88671875" customWidth="1"/>
    <col min="9" max="9" width="9.77734375" customWidth="1"/>
    <col min="10" max="10" width="24" customWidth="1"/>
    <col min="11" max="11" width="21.77734375" customWidth="1"/>
    <col min="12" max="12" width="18.33203125" customWidth="1"/>
    <col min="13" max="13" width="17" customWidth="1"/>
  </cols>
  <sheetData>
    <row r="1" spans="1:13" x14ac:dyDescent="0.3">
      <c r="A1" t="s">
        <v>83</v>
      </c>
      <c r="B1" t="s">
        <v>136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128</v>
      </c>
      <c r="I1" t="s">
        <v>140</v>
      </c>
      <c r="J1" t="s">
        <v>137</v>
      </c>
      <c r="K1" t="s">
        <v>138</v>
      </c>
      <c r="L1" t="s">
        <v>139</v>
      </c>
      <c r="M1" t="s">
        <v>141</v>
      </c>
    </row>
    <row r="2" spans="1:13" x14ac:dyDescent="0.3">
      <c r="A2">
        <v>4</v>
      </c>
      <c r="B2">
        <v>303</v>
      </c>
      <c r="C2">
        <v>2</v>
      </c>
      <c r="D2" t="s">
        <v>80</v>
      </c>
      <c r="E2" t="s">
        <v>29</v>
      </c>
      <c r="F2" t="s">
        <v>42</v>
      </c>
      <c r="G2" t="s">
        <v>59</v>
      </c>
      <c r="J2">
        <v>0</v>
      </c>
      <c r="K2">
        <v>0</v>
      </c>
      <c r="L2">
        <v>0</v>
      </c>
      <c r="M2">
        <v>1</v>
      </c>
    </row>
    <row r="3" spans="1:13" x14ac:dyDescent="0.3">
      <c r="A3">
        <v>2</v>
      </c>
      <c r="B3">
        <v>145</v>
      </c>
      <c r="C3">
        <v>2</v>
      </c>
      <c r="D3" t="s">
        <v>80</v>
      </c>
      <c r="E3" t="s">
        <v>29</v>
      </c>
      <c r="F3" t="s">
        <v>42</v>
      </c>
      <c r="G3" t="s">
        <v>44</v>
      </c>
      <c r="J3">
        <v>0</v>
      </c>
      <c r="K3">
        <v>0</v>
      </c>
      <c r="L3">
        <v>0</v>
      </c>
      <c r="M3">
        <v>1</v>
      </c>
    </row>
    <row r="4" spans="1:13" x14ac:dyDescent="0.3">
      <c r="A4">
        <v>4</v>
      </c>
      <c r="B4">
        <v>405</v>
      </c>
      <c r="C4">
        <v>2</v>
      </c>
      <c r="D4" t="s">
        <v>80</v>
      </c>
      <c r="E4" t="s">
        <v>29</v>
      </c>
      <c r="F4" t="s">
        <v>42</v>
      </c>
      <c r="G4" t="s">
        <v>60</v>
      </c>
      <c r="J4">
        <v>0</v>
      </c>
      <c r="K4">
        <v>0</v>
      </c>
      <c r="L4">
        <v>0</v>
      </c>
      <c r="M4">
        <v>1</v>
      </c>
    </row>
    <row r="5" spans="1:13" x14ac:dyDescent="0.3">
      <c r="A5">
        <v>4</v>
      </c>
      <c r="B5">
        <v>294</v>
      </c>
      <c r="C5">
        <v>2</v>
      </c>
      <c r="D5" t="s">
        <v>80</v>
      </c>
      <c r="E5" t="s">
        <v>29</v>
      </c>
      <c r="F5" t="s">
        <v>42</v>
      </c>
      <c r="G5" t="s">
        <v>60</v>
      </c>
      <c r="J5">
        <v>0</v>
      </c>
      <c r="K5">
        <v>0</v>
      </c>
      <c r="L5">
        <v>0</v>
      </c>
      <c r="M5">
        <v>1</v>
      </c>
    </row>
    <row r="6" spans="1:13" x14ac:dyDescent="0.3">
      <c r="A6">
        <v>1</v>
      </c>
      <c r="B6">
        <v>210</v>
      </c>
      <c r="C6">
        <v>2</v>
      </c>
      <c r="D6" t="s">
        <v>80</v>
      </c>
      <c r="E6" t="s">
        <v>29</v>
      </c>
      <c r="F6" t="s">
        <v>42</v>
      </c>
      <c r="G6" t="s">
        <v>71</v>
      </c>
      <c r="J6">
        <v>0</v>
      </c>
      <c r="K6">
        <v>0</v>
      </c>
      <c r="L6">
        <v>0</v>
      </c>
      <c r="M6">
        <v>0</v>
      </c>
    </row>
    <row r="7" spans="1:13" x14ac:dyDescent="0.3">
      <c r="A7">
        <v>2</v>
      </c>
      <c r="B7">
        <v>43</v>
      </c>
      <c r="C7">
        <v>2</v>
      </c>
      <c r="D7" t="s">
        <v>80</v>
      </c>
      <c r="E7" t="s">
        <v>29</v>
      </c>
      <c r="F7" t="s">
        <v>42</v>
      </c>
      <c r="G7" t="s">
        <v>47</v>
      </c>
      <c r="I7" s="1" t="s">
        <v>151</v>
      </c>
      <c r="J7">
        <v>0</v>
      </c>
      <c r="K7">
        <v>0</v>
      </c>
      <c r="L7">
        <v>0</v>
      </c>
      <c r="M7">
        <v>1</v>
      </c>
    </row>
    <row r="8" spans="1:13" x14ac:dyDescent="0.3">
      <c r="A8">
        <v>3</v>
      </c>
      <c r="B8">
        <v>66</v>
      </c>
      <c r="C8">
        <v>2</v>
      </c>
      <c r="D8" t="s">
        <v>80</v>
      </c>
      <c r="E8" t="s">
        <v>29</v>
      </c>
      <c r="F8" t="s">
        <v>42</v>
      </c>
      <c r="G8" t="s">
        <v>54</v>
      </c>
      <c r="J8">
        <v>0</v>
      </c>
      <c r="K8">
        <v>0</v>
      </c>
      <c r="L8">
        <v>0</v>
      </c>
      <c r="M8">
        <v>1</v>
      </c>
    </row>
    <row r="9" spans="1:13" x14ac:dyDescent="0.3">
      <c r="A9">
        <v>4</v>
      </c>
      <c r="B9">
        <v>390</v>
      </c>
      <c r="C9">
        <v>2</v>
      </c>
      <c r="D9" t="s">
        <v>80</v>
      </c>
      <c r="E9" t="s">
        <v>29</v>
      </c>
      <c r="F9" t="s">
        <v>42</v>
      </c>
      <c r="G9" t="s">
        <v>63</v>
      </c>
      <c r="I9" s="1" t="s">
        <v>151</v>
      </c>
      <c r="J9">
        <v>0</v>
      </c>
      <c r="K9">
        <v>0</v>
      </c>
      <c r="L9">
        <v>0</v>
      </c>
      <c r="M9">
        <v>1</v>
      </c>
    </row>
    <row r="10" spans="1:13" x14ac:dyDescent="0.3">
      <c r="A10">
        <v>4</v>
      </c>
      <c r="B10">
        <v>201</v>
      </c>
      <c r="C10">
        <v>2</v>
      </c>
      <c r="D10" t="s">
        <v>80</v>
      </c>
      <c r="E10" t="s">
        <v>29</v>
      </c>
      <c r="F10" t="s">
        <v>42</v>
      </c>
      <c r="G10" t="s">
        <v>63</v>
      </c>
      <c r="J10">
        <v>0</v>
      </c>
      <c r="K10">
        <v>0</v>
      </c>
      <c r="L10">
        <v>0</v>
      </c>
      <c r="M10">
        <v>1</v>
      </c>
    </row>
    <row r="11" spans="1:13" x14ac:dyDescent="0.3">
      <c r="A11">
        <v>1</v>
      </c>
      <c r="B11">
        <v>329</v>
      </c>
      <c r="C11">
        <v>2</v>
      </c>
      <c r="D11" t="s">
        <v>80</v>
      </c>
      <c r="E11" t="s">
        <v>29</v>
      </c>
      <c r="F11" t="s">
        <v>42</v>
      </c>
      <c r="G11" t="s">
        <v>70</v>
      </c>
      <c r="J11">
        <v>0</v>
      </c>
      <c r="K11">
        <v>0</v>
      </c>
      <c r="L11">
        <v>0</v>
      </c>
      <c r="M11">
        <v>1</v>
      </c>
    </row>
    <row r="12" spans="1:13" x14ac:dyDescent="0.3">
      <c r="A12">
        <v>2</v>
      </c>
      <c r="B12">
        <v>360</v>
      </c>
      <c r="C12">
        <v>2</v>
      </c>
      <c r="D12" t="s">
        <v>80</v>
      </c>
      <c r="E12" t="s">
        <v>29</v>
      </c>
      <c r="F12" t="s">
        <v>42</v>
      </c>
      <c r="G12" t="s">
        <v>48</v>
      </c>
      <c r="I12" s="1" t="s">
        <v>151</v>
      </c>
      <c r="J12">
        <v>0</v>
      </c>
      <c r="K12">
        <v>0</v>
      </c>
      <c r="L12">
        <v>0</v>
      </c>
      <c r="M12">
        <v>1</v>
      </c>
    </row>
    <row r="13" spans="1:13" x14ac:dyDescent="0.3">
      <c r="A13">
        <v>4</v>
      </c>
      <c r="B13">
        <v>409</v>
      </c>
      <c r="C13">
        <v>2</v>
      </c>
      <c r="D13" t="s">
        <v>80</v>
      </c>
      <c r="E13" t="s">
        <v>29</v>
      </c>
      <c r="F13" t="s">
        <v>42</v>
      </c>
      <c r="G13" t="s">
        <v>64</v>
      </c>
      <c r="J13">
        <v>0</v>
      </c>
      <c r="K13">
        <v>0</v>
      </c>
      <c r="L13">
        <v>0</v>
      </c>
      <c r="M13">
        <v>1</v>
      </c>
    </row>
    <row r="14" spans="1:13" x14ac:dyDescent="0.3">
      <c r="A14">
        <v>4</v>
      </c>
      <c r="B14">
        <v>183</v>
      </c>
      <c r="C14">
        <v>2</v>
      </c>
      <c r="D14" t="s">
        <v>80</v>
      </c>
      <c r="E14" t="s">
        <v>29</v>
      </c>
      <c r="F14" t="s">
        <v>42</v>
      </c>
      <c r="G14" t="s">
        <v>64</v>
      </c>
      <c r="J14">
        <v>0</v>
      </c>
      <c r="K14">
        <v>0</v>
      </c>
      <c r="L14">
        <v>0</v>
      </c>
      <c r="M14">
        <v>1</v>
      </c>
    </row>
    <row r="15" spans="1:13" x14ac:dyDescent="0.3">
      <c r="A15">
        <v>1</v>
      </c>
      <c r="B15">
        <v>312</v>
      </c>
      <c r="C15">
        <v>2</v>
      </c>
      <c r="D15" t="s">
        <v>80</v>
      </c>
      <c r="E15" t="s">
        <v>29</v>
      </c>
      <c r="F15" t="s">
        <v>42</v>
      </c>
      <c r="G15" t="s">
        <v>69</v>
      </c>
      <c r="I15" s="1" t="s">
        <v>151</v>
      </c>
      <c r="J15">
        <v>0</v>
      </c>
      <c r="K15">
        <v>0</v>
      </c>
      <c r="L15">
        <v>0</v>
      </c>
      <c r="M15">
        <v>0</v>
      </c>
    </row>
    <row r="16" spans="1:13" x14ac:dyDescent="0.3">
      <c r="A16">
        <v>2</v>
      </c>
      <c r="B16">
        <v>154</v>
      </c>
      <c r="C16">
        <v>2</v>
      </c>
      <c r="D16" t="s">
        <v>80</v>
      </c>
      <c r="E16" t="s">
        <v>29</v>
      </c>
      <c r="F16" t="s">
        <v>42</v>
      </c>
      <c r="G16" t="s">
        <v>49</v>
      </c>
      <c r="J16">
        <v>0</v>
      </c>
      <c r="K16">
        <v>0</v>
      </c>
      <c r="L16">
        <v>0</v>
      </c>
      <c r="M16">
        <v>1</v>
      </c>
    </row>
    <row r="17" spans="1:13" x14ac:dyDescent="0.3">
      <c r="A17">
        <v>4</v>
      </c>
      <c r="B17">
        <v>197</v>
      </c>
      <c r="C17">
        <v>2</v>
      </c>
      <c r="D17" t="s">
        <v>80</v>
      </c>
      <c r="E17" t="s">
        <v>29</v>
      </c>
      <c r="F17" t="s">
        <v>42</v>
      </c>
      <c r="G17" t="s">
        <v>65</v>
      </c>
      <c r="J17">
        <v>0</v>
      </c>
      <c r="K17">
        <v>0</v>
      </c>
      <c r="L17">
        <v>0</v>
      </c>
      <c r="M17">
        <v>1</v>
      </c>
    </row>
    <row r="18" spans="1:13" x14ac:dyDescent="0.3">
      <c r="A18">
        <v>4</v>
      </c>
      <c r="B18">
        <v>97</v>
      </c>
      <c r="C18">
        <v>2</v>
      </c>
      <c r="D18" t="s">
        <v>80</v>
      </c>
      <c r="E18" t="s">
        <v>29</v>
      </c>
      <c r="F18" t="s">
        <v>42</v>
      </c>
      <c r="G18" t="s">
        <v>65</v>
      </c>
      <c r="J18">
        <v>0</v>
      </c>
      <c r="K18">
        <v>0</v>
      </c>
      <c r="L18">
        <v>0</v>
      </c>
      <c r="M18">
        <v>1</v>
      </c>
    </row>
    <row r="19" spans="1:13" x14ac:dyDescent="0.3">
      <c r="A19">
        <v>2</v>
      </c>
      <c r="B19">
        <v>50</v>
      </c>
      <c r="C19">
        <v>2</v>
      </c>
      <c r="D19" t="s">
        <v>80</v>
      </c>
      <c r="E19" t="s">
        <v>29</v>
      </c>
      <c r="F19" t="s">
        <v>42</v>
      </c>
      <c r="G19" t="s">
        <v>50</v>
      </c>
      <c r="I19" s="1" t="s">
        <v>151</v>
      </c>
      <c r="J19">
        <v>0</v>
      </c>
      <c r="K19">
        <v>0</v>
      </c>
      <c r="L19">
        <v>0</v>
      </c>
      <c r="M19">
        <v>1</v>
      </c>
    </row>
    <row r="20" spans="1:13" x14ac:dyDescent="0.3">
      <c r="A20">
        <v>1</v>
      </c>
      <c r="B20">
        <v>111</v>
      </c>
      <c r="C20">
        <v>2</v>
      </c>
      <c r="D20" t="s">
        <v>80</v>
      </c>
      <c r="E20" t="s">
        <v>29</v>
      </c>
      <c r="F20" t="s">
        <v>42</v>
      </c>
      <c r="G20" t="s">
        <v>67</v>
      </c>
      <c r="J20">
        <v>0</v>
      </c>
      <c r="K20">
        <v>0</v>
      </c>
      <c r="L20">
        <v>0</v>
      </c>
      <c r="M20">
        <v>1</v>
      </c>
    </row>
    <row r="21" spans="1:13" x14ac:dyDescent="0.3">
      <c r="A21">
        <v>1</v>
      </c>
      <c r="B21">
        <v>1</v>
      </c>
      <c r="C21">
        <v>2</v>
      </c>
      <c r="D21" t="s">
        <v>80</v>
      </c>
      <c r="E21" t="s">
        <v>29</v>
      </c>
      <c r="F21" t="s">
        <v>42</v>
      </c>
      <c r="J21">
        <v>0</v>
      </c>
      <c r="K21">
        <v>0</v>
      </c>
      <c r="L21">
        <v>0</v>
      </c>
      <c r="M21">
        <v>0</v>
      </c>
    </row>
    <row r="22" spans="1:13" x14ac:dyDescent="0.3">
      <c r="A22">
        <v>2</v>
      </c>
      <c r="B22">
        <v>344</v>
      </c>
      <c r="C22">
        <v>2</v>
      </c>
      <c r="D22" t="s">
        <v>80</v>
      </c>
      <c r="E22" t="s">
        <v>29</v>
      </c>
      <c r="F22" t="s">
        <v>42</v>
      </c>
      <c r="H22" t="s">
        <v>127</v>
      </c>
      <c r="I22" s="1" t="s">
        <v>151</v>
      </c>
      <c r="J22">
        <v>0</v>
      </c>
      <c r="K22">
        <v>0</v>
      </c>
      <c r="L22">
        <v>0</v>
      </c>
      <c r="M22">
        <v>1</v>
      </c>
    </row>
    <row r="23" spans="1:13" x14ac:dyDescent="0.3">
      <c r="A23">
        <v>4</v>
      </c>
      <c r="B23">
        <v>307</v>
      </c>
      <c r="C23">
        <v>2</v>
      </c>
      <c r="D23" t="s">
        <v>80</v>
      </c>
      <c r="E23" t="s">
        <v>29</v>
      </c>
      <c r="F23" t="s">
        <v>42</v>
      </c>
      <c r="H23" t="s">
        <v>127</v>
      </c>
      <c r="I23" s="1" t="s">
        <v>151</v>
      </c>
      <c r="J23">
        <v>0</v>
      </c>
      <c r="K23">
        <v>0</v>
      </c>
      <c r="L23">
        <v>0</v>
      </c>
      <c r="M23">
        <v>1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908E9-DFB9-4A9E-A5F2-BBC3598AAAD1}">
  <dimension ref="A1:M26"/>
  <sheetViews>
    <sheetView workbookViewId="0">
      <selection sqref="A1:M26"/>
    </sheetView>
  </sheetViews>
  <sheetFormatPr defaultRowHeight="14.4" x14ac:dyDescent="0.3"/>
  <cols>
    <col min="3" max="3" width="10.88671875" customWidth="1"/>
    <col min="4" max="4" width="10.33203125" customWidth="1"/>
    <col min="6" max="6" width="11.21875" customWidth="1"/>
    <col min="7" max="7" width="9.88671875" customWidth="1"/>
    <col min="8" max="8" width="10.88671875" customWidth="1"/>
    <col min="9" max="9" width="9.77734375" customWidth="1"/>
    <col min="10" max="10" width="24" customWidth="1"/>
    <col min="11" max="11" width="21.77734375" customWidth="1"/>
    <col min="12" max="12" width="18.33203125" customWidth="1"/>
    <col min="13" max="13" width="17" customWidth="1"/>
  </cols>
  <sheetData>
    <row r="1" spans="1:13" x14ac:dyDescent="0.3">
      <c r="A1" t="s">
        <v>83</v>
      </c>
      <c r="B1" t="s">
        <v>136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128</v>
      </c>
      <c r="I1" t="s">
        <v>140</v>
      </c>
      <c r="J1" t="s">
        <v>137</v>
      </c>
      <c r="K1" t="s">
        <v>138</v>
      </c>
      <c r="L1" t="s">
        <v>139</v>
      </c>
      <c r="M1" t="s">
        <v>141</v>
      </c>
    </row>
    <row r="2" spans="1:13" x14ac:dyDescent="0.3">
      <c r="A2">
        <v>1</v>
      </c>
      <c r="B2">
        <v>333</v>
      </c>
      <c r="C2">
        <v>1</v>
      </c>
      <c r="D2" t="s">
        <v>81</v>
      </c>
      <c r="E2" t="s">
        <v>0</v>
      </c>
      <c r="F2" t="s">
        <v>41</v>
      </c>
      <c r="G2" t="s">
        <v>43</v>
      </c>
      <c r="I2" t="s">
        <v>151</v>
      </c>
      <c r="J2">
        <v>0</v>
      </c>
      <c r="K2">
        <v>1</v>
      </c>
      <c r="L2">
        <v>0</v>
      </c>
      <c r="M2">
        <v>1</v>
      </c>
    </row>
    <row r="3" spans="1:13" x14ac:dyDescent="0.3">
      <c r="A3">
        <v>2</v>
      </c>
      <c r="B3">
        <v>28</v>
      </c>
      <c r="C3">
        <v>1</v>
      </c>
      <c r="D3" t="s">
        <v>81</v>
      </c>
      <c r="E3" t="s">
        <v>0</v>
      </c>
      <c r="F3" t="s">
        <v>41</v>
      </c>
      <c r="G3" t="s">
        <v>58</v>
      </c>
      <c r="I3" t="s">
        <v>151</v>
      </c>
      <c r="J3">
        <v>0</v>
      </c>
      <c r="K3">
        <v>1</v>
      </c>
      <c r="L3">
        <v>0</v>
      </c>
      <c r="M3">
        <v>1</v>
      </c>
    </row>
    <row r="4" spans="1:13" x14ac:dyDescent="0.3">
      <c r="A4">
        <v>3</v>
      </c>
      <c r="B4">
        <v>282</v>
      </c>
      <c r="C4">
        <v>1</v>
      </c>
      <c r="D4" t="s">
        <v>81</v>
      </c>
      <c r="E4" t="s">
        <v>0</v>
      </c>
      <c r="F4" t="s">
        <v>41</v>
      </c>
      <c r="G4" t="s">
        <v>59</v>
      </c>
      <c r="I4" t="s">
        <v>151</v>
      </c>
      <c r="J4">
        <v>0</v>
      </c>
      <c r="K4">
        <v>1</v>
      </c>
      <c r="L4">
        <v>0</v>
      </c>
      <c r="M4">
        <v>1</v>
      </c>
    </row>
    <row r="5" spans="1:13" x14ac:dyDescent="0.3">
      <c r="A5">
        <v>4</v>
      </c>
      <c r="B5">
        <v>80</v>
      </c>
      <c r="C5">
        <v>1</v>
      </c>
      <c r="D5" t="s">
        <v>81</v>
      </c>
      <c r="E5" t="s">
        <v>0</v>
      </c>
      <c r="F5" t="s">
        <v>41</v>
      </c>
      <c r="G5" t="s">
        <v>74</v>
      </c>
      <c r="I5" t="s">
        <v>151</v>
      </c>
      <c r="J5">
        <v>0</v>
      </c>
      <c r="K5">
        <v>1</v>
      </c>
      <c r="L5">
        <v>0</v>
      </c>
      <c r="M5">
        <v>1</v>
      </c>
    </row>
    <row r="6" spans="1:13" x14ac:dyDescent="0.3">
      <c r="A6">
        <v>1</v>
      </c>
      <c r="B6">
        <v>226</v>
      </c>
      <c r="C6">
        <v>1</v>
      </c>
      <c r="D6" t="s">
        <v>81</v>
      </c>
      <c r="E6" t="s">
        <v>0</v>
      </c>
      <c r="F6" t="s">
        <v>41</v>
      </c>
      <c r="G6" t="s">
        <v>44</v>
      </c>
      <c r="I6" t="s">
        <v>151</v>
      </c>
      <c r="J6">
        <v>0</v>
      </c>
      <c r="K6">
        <v>1</v>
      </c>
      <c r="L6">
        <v>0</v>
      </c>
      <c r="M6">
        <v>1</v>
      </c>
    </row>
    <row r="7" spans="1:13" x14ac:dyDescent="0.3">
      <c r="A7">
        <v>2</v>
      </c>
      <c r="B7">
        <v>31</v>
      </c>
      <c r="C7">
        <v>1</v>
      </c>
      <c r="D7" t="s">
        <v>81</v>
      </c>
      <c r="E7" t="s">
        <v>0</v>
      </c>
      <c r="F7" t="s">
        <v>41</v>
      </c>
      <c r="G7" t="s">
        <v>57</v>
      </c>
      <c r="I7" t="s">
        <v>151</v>
      </c>
      <c r="J7">
        <v>0</v>
      </c>
      <c r="K7">
        <v>1</v>
      </c>
      <c r="L7">
        <v>0</v>
      </c>
      <c r="M7">
        <v>1</v>
      </c>
    </row>
    <row r="8" spans="1:13" x14ac:dyDescent="0.3">
      <c r="A8">
        <v>3</v>
      </c>
      <c r="B8">
        <v>180</v>
      </c>
      <c r="C8">
        <v>1</v>
      </c>
      <c r="D8" t="s">
        <v>81</v>
      </c>
      <c r="E8" t="s">
        <v>0</v>
      </c>
      <c r="F8" t="s">
        <v>41</v>
      </c>
      <c r="G8" t="s">
        <v>60</v>
      </c>
      <c r="I8" t="s">
        <v>151</v>
      </c>
      <c r="J8">
        <v>0</v>
      </c>
      <c r="K8">
        <v>1</v>
      </c>
      <c r="L8">
        <v>0</v>
      </c>
      <c r="M8">
        <v>1</v>
      </c>
    </row>
    <row r="9" spans="1:13" x14ac:dyDescent="0.3">
      <c r="A9">
        <v>1</v>
      </c>
      <c r="B9">
        <v>230</v>
      </c>
      <c r="C9">
        <v>1</v>
      </c>
      <c r="D9" t="s">
        <v>81</v>
      </c>
      <c r="E9" t="s">
        <v>0</v>
      </c>
      <c r="F9" t="s">
        <v>41</v>
      </c>
      <c r="G9" t="s">
        <v>45</v>
      </c>
      <c r="I9" t="s">
        <v>151</v>
      </c>
      <c r="J9">
        <v>0</v>
      </c>
      <c r="K9">
        <v>1</v>
      </c>
      <c r="L9">
        <v>0</v>
      </c>
      <c r="M9">
        <v>1</v>
      </c>
    </row>
    <row r="10" spans="1:13" x14ac:dyDescent="0.3">
      <c r="A10">
        <v>2</v>
      </c>
      <c r="B10">
        <v>134</v>
      </c>
      <c r="C10">
        <v>1</v>
      </c>
      <c r="D10" t="s">
        <v>81</v>
      </c>
      <c r="E10" t="s">
        <v>0</v>
      </c>
      <c r="F10" t="s">
        <v>41</v>
      </c>
      <c r="G10" t="s">
        <v>56</v>
      </c>
      <c r="I10" t="s">
        <v>151</v>
      </c>
      <c r="J10">
        <v>0</v>
      </c>
      <c r="K10">
        <v>1</v>
      </c>
      <c r="L10">
        <v>0</v>
      </c>
      <c r="M10">
        <v>1</v>
      </c>
    </row>
    <row r="11" spans="1:13" x14ac:dyDescent="0.3">
      <c r="A11">
        <v>2</v>
      </c>
      <c r="B11">
        <v>35</v>
      </c>
      <c r="C11">
        <v>1</v>
      </c>
      <c r="D11" t="s">
        <v>81</v>
      </c>
      <c r="E11" t="s">
        <v>0</v>
      </c>
      <c r="F11" t="s">
        <v>41</v>
      </c>
      <c r="G11" t="s">
        <v>56</v>
      </c>
      <c r="I11" t="s">
        <v>151</v>
      </c>
      <c r="J11">
        <v>0</v>
      </c>
      <c r="K11">
        <v>1</v>
      </c>
      <c r="L11">
        <v>0</v>
      </c>
      <c r="M11">
        <v>1</v>
      </c>
    </row>
    <row r="12" spans="1:13" x14ac:dyDescent="0.3">
      <c r="A12">
        <v>4</v>
      </c>
      <c r="B12">
        <v>184</v>
      </c>
      <c r="C12">
        <v>1</v>
      </c>
      <c r="D12" t="s">
        <v>81</v>
      </c>
      <c r="E12" t="s">
        <v>0</v>
      </c>
      <c r="F12" t="s">
        <v>41</v>
      </c>
      <c r="G12" t="s">
        <v>72</v>
      </c>
      <c r="I12" t="s">
        <v>151</v>
      </c>
      <c r="J12">
        <v>0</v>
      </c>
      <c r="K12">
        <v>1</v>
      </c>
      <c r="L12">
        <v>0</v>
      </c>
      <c r="M12">
        <v>1</v>
      </c>
    </row>
    <row r="13" spans="1:13" x14ac:dyDescent="0.3">
      <c r="A13">
        <v>1</v>
      </c>
      <c r="B13">
        <v>330</v>
      </c>
      <c r="C13">
        <v>1</v>
      </c>
      <c r="D13" t="s">
        <v>81</v>
      </c>
      <c r="E13" t="s">
        <v>0</v>
      </c>
      <c r="F13" t="s">
        <v>41</v>
      </c>
      <c r="G13" t="s">
        <v>46</v>
      </c>
      <c r="I13" t="s">
        <v>151</v>
      </c>
      <c r="J13">
        <v>0</v>
      </c>
      <c r="K13">
        <v>1</v>
      </c>
      <c r="L13">
        <v>0</v>
      </c>
      <c r="M13">
        <v>1</v>
      </c>
    </row>
    <row r="14" spans="1:13" x14ac:dyDescent="0.3">
      <c r="A14">
        <v>1</v>
      </c>
      <c r="B14">
        <v>11</v>
      </c>
      <c r="C14">
        <v>1</v>
      </c>
      <c r="D14" t="s">
        <v>81</v>
      </c>
      <c r="E14" t="s">
        <v>0</v>
      </c>
      <c r="F14" t="s">
        <v>41</v>
      </c>
      <c r="G14" t="s">
        <v>46</v>
      </c>
      <c r="I14" t="s">
        <v>151</v>
      </c>
      <c r="J14">
        <v>0</v>
      </c>
      <c r="K14">
        <v>1</v>
      </c>
      <c r="L14">
        <v>0</v>
      </c>
      <c r="M14">
        <v>1</v>
      </c>
    </row>
    <row r="15" spans="1:13" x14ac:dyDescent="0.3">
      <c r="A15">
        <v>2</v>
      </c>
      <c r="B15">
        <v>341</v>
      </c>
      <c r="C15">
        <v>1</v>
      </c>
      <c r="D15" t="s">
        <v>81</v>
      </c>
      <c r="E15" t="s">
        <v>0</v>
      </c>
      <c r="F15" t="s">
        <v>41</v>
      </c>
      <c r="G15" t="s">
        <v>55</v>
      </c>
      <c r="I15" t="s">
        <v>151</v>
      </c>
      <c r="J15">
        <v>0</v>
      </c>
      <c r="K15">
        <v>1</v>
      </c>
      <c r="L15">
        <v>0</v>
      </c>
      <c r="M15">
        <v>1</v>
      </c>
    </row>
    <row r="16" spans="1:13" x14ac:dyDescent="0.3">
      <c r="A16">
        <v>3</v>
      </c>
      <c r="B16">
        <v>387</v>
      </c>
      <c r="C16">
        <v>1</v>
      </c>
      <c r="D16" t="s">
        <v>81</v>
      </c>
      <c r="E16" t="s">
        <v>0</v>
      </c>
      <c r="F16" t="s">
        <v>41</v>
      </c>
      <c r="G16" t="s">
        <v>62</v>
      </c>
      <c r="I16" t="s">
        <v>151</v>
      </c>
      <c r="J16">
        <v>0</v>
      </c>
      <c r="K16">
        <v>1</v>
      </c>
      <c r="L16">
        <v>0</v>
      </c>
      <c r="M16">
        <v>1</v>
      </c>
    </row>
    <row r="17" spans="1:13" x14ac:dyDescent="0.3">
      <c r="A17">
        <v>4</v>
      </c>
      <c r="B17">
        <v>402</v>
      </c>
      <c r="C17">
        <v>1</v>
      </c>
      <c r="D17" t="s">
        <v>81</v>
      </c>
      <c r="E17" t="s">
        <v>0</v>
      </c>
      <c r="F17" t="s">
        <v>41</v>
      </c>
      <c r="G17" t="s">
        <v>71</v>
      </c>
      <c r="I17" t="s">
        <v>151</v>
      </c>
      <c r="J17">
        <v>0</v>
      </c>
      <c r="K17">
        <v>1</v>
      </c>
      <c r="L17">
        <v>0</v>
      </c>
      <c r="M17">
        <v>1</v>
      </c>
    </row>
    <row r="18" spans="1:13" x14ac:dyDescent="0.3">
      <c r="A18">
        <v>4</v>
      </c>
      <c r="B18">
        <v>285</v>
      </c>
      <c r="C18">
        <v>1</v>
      </c>
      <c r="D18" t="s">
        <v>81</v>
      </c>
      <c r="E18" t="s">
        <v>0</v>
      </c>
      <c r="F18" t="s">
        <v>41</v>
      </c>
      <c r="G18" t="s">
        <v>71</v>
      </c>
      <c r="I18" t="s">
        <v>151</v>
      </c>
      <c r="J18">
        <v>0</v>
      </c>
      <c r="K18">
        <v>1</v>
      </c>
      <c r="L18">
        <v>0</v>
      </c>
      <c r="M18">
        <v>1</v>
      </c>
    </row>
    <row r="19" spans="1:13" x14ac:dyDescent="0.3">
      <c r="A19">
        <v>1</v>
      </c>
      <c r="B19">
        <v>123</v>
      </c>
      <c r="C19">
        <v>1</v>
      </c>
      <c r="D19" t="s">
        <v>81</v>
      </c>
      <c r="E19" t="s">
        <v>0</v>
      </c>
      <c r="F19" t="s">
        <v>41</v>
      </c>
      <c r="G19" t="s">
        <v>47</v>
      </c>
      <c r="I19" t="s">
        <v>151</v>
      </c>
      <c r="J19">
        <v>0</v>
      </c>
      <c r="K19">
        <v>1</v>
      </c>
      <c r="L19">
        <v>0</v>
      </c>
      <c r="M19">
        <v>1</v>
      </c>
    </row>
    <row r="20" spans="1:13" x14ac:dyDescent="0.3">
      <c r="A20">
        <v>1</v>
      </c>
      <c r="B20">
        <v>17</v>
      </c>
      <c r="C20">
        <v>1</v>
      </c>
      <c r="D20" t="s">
        <v>81</v>
      </c>
      <c r="E20" t="s">
        <v>0</v>
      </c>
      <c r="F20" t="s">
        <v>41</v>
      </c>
      <c r="G20" t="s">
        <v>48</v>
      </c>
      <c r="I20" t="s">
        <v>151</v>
      </c>
      <c r="J20">
        <v>0</v>
      </c>
      <c r="K20">
        <v>1</v>
      </c>
      <c r="L20">
        <v>0</v>
      </c>
      <c r="M20">
        <v>1</v>
      </c>
    </row>
    <row r="21" spans="1:13" x14ac:dyDescent="0.3">
      <c r="A21">
        <v>2</v>
      </c>
      <c r="B21">
        <v>240</v>
      </c>
      <c r="C21">
        <v>1</v>
      </c>
      <c r="D21" t="s">
        <v>81</v>
      </c>
      <c r="E21" t="s">
        <v>0</v>
      </c>
      <c r="F21" t="s">
        <v>41</v>
      </c>
      <c r="G21" t="s">
        <v>53</v>
      </c>
      <c r="I21" t="s">
        <v>151</v>
      </c>
      <c r="J21">
        <v>0</v>
      </c>
      <c r="K21">
        <v>1</v>
      </c>
      <c r="L21">
        <v>0</v>
      </c>
      <c r="M21">
        <v>1</v>
      </c>
    </row>
    <row r="22" spans="1:13" x14ac:dyDescent="0.3">
      <c r="A22">
        <v>4</v>
      </c>
      <c r="B22">
        <v>392</v>
      </c>
      <c r="C22">
        <v>1</v>
      </c>
      <c r="D22" t="s">
        <v>81</v>
      </c>
      <c r="E22" t="s">
        <v>0</v>
      </c>
      <c r="F22" t="s">
        <v>41</v>
      </c>
      <c r="G22" t="s">
        <v>69</v>
      </c>
      <c r="I22" t="s">
        <v>151</v>
      </c>
      <c r="J22">
        <v>0</v>
      </c>
      <c r="K22">
        <v>1</v>
      </c>
      <c r="L22">
        <v>0</v>
      </c>
      <c r="M22">
        <v>1</v>
      </c>
    </row>
    <row r="23" spans="1:13" x14ac:dyDescent="0.3">
      <c r="A23">
        <v>4</v>
      </c>
      <c r="B23">
        <v>288</v>
      </c>
      <c r="C23">
        <v>1</v>
      </c>
      <c r="D23" t="s">
        <v>81</v>
      </c>
      <c r="E23" t="s">
        <v>0</v>
      </c>
      <c r="F23" t="s">
        <v>41</v>
      </c>
      <c r="G23" t="s">
        <v>69</v>
      </c>
      <c r="I23" t="s">
        <v>151</v>
      </c>
      <c r="J23">
        <v>0</v>
      </c>
      <c r="K23">
        <v>1</v>
      </c>
      <c r="L23">
        <v>0</v>
      </c>
      <c r="M23">
        <v>1</v>
      </c>
    </row>
    <row r="24" spans="1:13" x14ac:dyDescent="0.3">
      <c r="A24">
        <v>3</v>
      </c>
      <c r="B24">
        <v>73</v>
      </c>
      <c r="C24">
        <v>1</v>
      </c>
      <c r="D24" t="s">
        <v>81</v>
      </c>
      <c r="E24" t="s">
        <v>0</v>
      </c>
      <c r="F24" t="s">
        <v>41</v>
      </c>
      <c r="G24" t="s">
        <v>65</v>
      </c>
      <c r="I24" t="s">
        <v>151</v>
      </c>
      <c r="J24">
        <v>0</v>
      </c>
      <c r="K24">
        <v>1</v>
      </c>
      <c r="L24">
        <v>0</v>
      </c>
      <c r="M24">
        <v>1</v>
      </c>
    </row>
    <row r="25" spans="1:13" x14ac:dyDescent="0.3">
      <c r="A25">
        <v>4</v>
      </c>
      <c r="B25">
        <v>194</v>
      </c>
      <c r="C25">
        <v>1</v>
      </c>
      <c r="D25" t="s">
        <v>81</v>
      </c>
      <c r="E25" t="s">
        <v>0</v>
      </c>
      <c r="F25" t="s">
        <v>41</v>
      </c>
      <c r="G25" t="s">
        <v>68</v>
      </c>
      <c r="I25" t="s">
        <v>151</v>
      </c>
      <c r="J25">
        <v>0</v>
      </c>
      <c r="K25">
        <v>1</v>
      </c>
      <c r="L25">
        <v>0</v>
      </c>
      <c r="M25">
        <v>1</v>
      </c>
    </row>
    <row r="26" spans="1:13" x14ac:dyDescent="0.3">
      <c r="A26">
        <v>1</v>
      </c>
      <c r="B26">
        <v>120</v>
      </c>
      <c r="C26">
        <v>1</v>
      </c>
      <c r="D26" t="s">
        <v>81</v>
      </c>
      <c r="E26" t="s">
        <v>0</v>
      </c>
      <c r="F26" t="s">
        <v>41</v>
      </c>
      <c r="G26" t="s">
        <v>50</v>
      </c>
      <c r="I26" t="s">
        <v>151</v>
      </c>
      <c r="J26">
        <v>0</v>
      </c>
      <c r="K26">
        <v>1</v>
      </c>
      <c r="L26">
        <v>0</v>
      </c>
      <c r="M26">
        <v>1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E7BC0-9372-455B-8459-41E5DB5E692E}">
  <dimension ref="A1:P426"/>
  <sheetViews>
    <sheetView topLeftCell="A286" zoomScale="88" workbookViewId="0">
      <selection activeCell="G301" sqref="G301"/>
    </sheetView>
  </sheetViews>
  <sheetFormatPr defaultRowHeight="14.4" x14ac:dyDescent="0.3"/>
  <cols>
    <col min="7" max="7" width="10.21875" bestFit="1" customWidth="1"/>
    <col min="10" max="10" width="24.6640625" bestFit="1" customWidth="1"/>
    <col min="11" max="11" width="24.5546875" bestFit="1" customWidth="1"/>
    <col min="13" max="13" width="17.44140625" bestFit="1" customWidth="1"/>
    <col min="16" max="16" width="30.44140625" bestFit="1" customWidth="1"/>
    <col min="17" max="17" width="15.5546875" bestFit="1" customWidth="1"/>
    <col min="18" max="18" width="3" bestFit="1" customWidth="1"/>
    <col min="19" max="19" width="6.6640625" bestFit="1" customWidth="1"/>
    <col min="20" max="20" width="4" bestFit="1" customWidth="1"/>
    <col min="21" max="21" width="3" bestFit="1" customWidth="1"/>
    <col min="22" max="22" width="6.6640625" bestFit="1" customWidth="1"/>
    <col min="23" max="23" width="10.77734375" bestFit="1" customWidth="1"/>
    <col min="24" max="24" width="30.44140625" bestFit="1" customWidth="1"/>
    <col min="25" max="25" width="15.5546875" bestFit="1" customWidth="1"/>
    <col min="26" max="26" width="3" bestFit="1" customWidth="1"/>
    <col min="27" max="27" width="6.6640625" bestFit="1" customWidth="1"/>
    <col min="28" max="28" width="4" bestFit="1" customWidth="1"/>
    <col min="29" max="29" width="3" bestFit="1" customWidth="1"/>
    <col min="30" max="30" width="6.6640625" bestFit="1" customWidth="1"/>
    <col min="31" max="31" width="10.77734375" bestFit="1" customWidth="1"/>
  </cols>
  <sheetData>
    <row r="1" spans="1:13" x14ac:dyDescent="0.3">
      <c r="A1" s="21" t="s">
        <v>83</v>
      </c>
      <c r="B1" s="80" t="s">
        <v>136</v>
      </c>
      <c r="C1" s="35" t="s">
        <v>75</v>
      </c>
      <c r="D1" s="35" t="s">
        <v>76</v>
      </c>
      <c r="E1" s="35" t="s">
        <v>77</v>
      </c>
      <c r="F1" s="21" t="s">
        <v>78</v>
      </c>
      <c r="G1" s="21" t="s">
        <v>79</v>
      </c>
      <c r="H1" s="49" t="s">
        <v>128</v>
      </c>
      <c r="I1" s="49" t="s">
        <v>140</v>
      </c>
      <c r="J1" s="21" t="s">
        <v>137</v>
      </c>
      <c r="K1" s="73" t="s">
        <v>138</v>
      </c>
      <c r="L1" s="73" t="s">
        <v>139</v>
      </c>
      <c r="M1" s="49" t="s">
        <v>141</v>
      </c>
    </row>
    <row r="2" spans="1:13" x14ac:dyDescent="0.3">
      <c r="A2" s="79">
        <v>1</v>
      </c>
      <c r="B2" s="2">
        <v>1</v>
      </c>
      <c r="C2" s="53">
        <v>2</v>
      </c>
      <c r="D2" s="53" t="s">
        <v>80</v>
      </c>
      <c r="E2" s="53" t="s">
        <v>29</v>
      </c>
      <c r="F2" s="54" t="s">
        <v>42</v>
      </c>
      <c r="G2" s="54"/>
      <c r="H2" s="77"/>
      <c r="I2" s="91" t="s">
        <v>151</v>
      </c>
      <c r="J2" s="37">
        <f>IF(Table1214[[#This Row],[modality]]=D1,1,0)</f>
        <v>0</v>
      </c>
      <c r="K2" s="68">
        <f>IF(Table1214[[#This Row],[stimulus]]=G3, 1, 0)</f>
        <v>0</v>
      </c>
      <c r="L2" s="68">
        <f>IF(E1="T",1,0)</f>
        <v>0</v>
      </c>
      <c r="M2" s="68">
        <f>IF(E1="F",1,0)</f>
        <v>0</v>
      </c>
    </row>
    <row r="3" spans="1:13" x14ac:dyDescent="0.3">
      <c r="A3" s="4">
        <v>1</v>
      </c>
      <c r="B3" s="2">
        <v>2</v>
      </c>
      <c r="C3" s="36">
        <v>2</v>
      </c>
      <c r="D3" s="36" t="s">
        <v>80</v>
      </c>
      <c r="E3" s="42" t="s">
        <v>0</v>
      </c>
      <c r="F3" s="15" t="s">
        <v>41</v>
      </c>
      <c r="G3" s="15" t="s">
        <v>43</v>
      </c>
      <c r="H3" s="68"/>
      <c r="I3" s="68" t="s">
        <v>151</v>
      </c>
      <c r="J3" s="37">
        <f>IF(Table1214[[#This Row],[modality]]=D2,1,0)</f>
        <v>1</v>
      </c>
      <c r="K3" s="68">
        <f>IF(Table1214[[#This Row],[stimulus]]=G4, 1, 0)</f>
        <v>1</v>
      </c>
      <c r="L3" s="68">
        <f t="shared" ref="L3:L32" si="0">IF(E2="T",1,0)</f>
        <v>0</v>
      </c>
      <c r="M3" s="68">
        <f t="shared" ref="M3:M32" si="1">IF(E2="F",1,0)</f>
        <v>1</v>
      </c>
    </row>
    <row r="4" spans="1:13" x14ac:dyDescent="0.3">
      <c r="A4" s="4">
        <v>1</v>
      </c>
      <c r="B4" s="2">
        <v>3</v>
      </c>
      <c r="C4" s="66">
        <v>2</v>
      </c>
      <c r="D4" s="66" t="s">
        <v>80</v>
      </c>
      <c r="E4" s="69" t="s">
        <v>40</v>
      </c>
      <c r="F4" s="27" t="s">
        <v>9</v>
      </c>
      <c r="G4" s="27" t="s">
        <v>43</v>
      </c>
      <c r="H4" s="68"/>
      <c r="I4" s="68" t="s">
        <v>150</v>
      </c>
      <c r="J4" s="37">
        <f>IF(Table1214[[#This Row],[modality]]=D3,1,0)</f>
        <v>1</v>
      </c>
      <c r="K4" s="68">
        <f>IF(Table1214[[#This Row],[stimulus]]=G5, 1, 0)</f>
        <v>0</v>
      </c>
      <c r="L4" s="68">
        <f t="shared" si="0"/>
        <v>0</v>
      </c>
      <c r="M4" s="68">
        <f t="shared" si="1"/>
        <v>0</v>
      </c>
    </row>
    <row r="5" spans="1:13" x14ac:dyDescent="0.3">
      <c r="A5" s="4">
        <v>1</v>
      </c>
      <c r="B5" s="2">
        <v>4</v>
      </c>
      <c r="C5" s="38">
        <v>1</v>
      </c>
      <c r="D5" s="44" t="s">
        <v>81</v>
      </c>
      <c r="E5" s="46" t="s">
        <v>29</v>
      </c>
      <c r="F5" s="15" t="s">
        <v>42</v>
      </c>
      <c r="G5" s="15" t="s">
        <v>74</v>
      </c>
      <c r="H5" s="68"/>
      <c r="I5" s="68"/>
      <c r="J5" s="37">
        <f>IF(Table1214[[#This Row],[modality]]=D4,1,0)</f>
        <v>0</v>
      </c>
      <c r="K5" s="68">
        <f>IF(Table1214[[#This Row],[stimulus]]=G6, 1, 0)</f>
        <v>0</v>
      </c>
      <c r="L5" s="68">
        <f t="shared" si="0"/>
        <v>1</v>
      </c>
      <c r="M5" s="68">
        <f t="shared" si="1"/>
        <v>0</v>
      </c>
    </row>
    <row r="6" spans="1:13" x14ac:dyDescent="0.3">
      <c r="A6" s="4">
        <v>1</v>
      </c>
      <c r="B6" s="2">
        <v>5</v>
      </c>
      <c r="C6" s="66">
        <v>2</v>
      </c>
      <c r="D6" s="66" t="s">
        <v>80</v>
      </c>
      <c r="E6" s="69" t="s">
        <v>0</v>
      </c>
      <c r="F6" s="27" t="s">
        <v>41</v>
      </c>
      <c r="G6" s="27" t="s">
        <v>44</v>
      </c>
      <c r="H6" s="68"/>
      <c r="I6" s="68" t="s">
        <v>151</v>
      </c>
      <c r="J6" s="37">
        <f>IF(Table1214[[#This Row],[modality]]=D5,1,0)</f>
        <v>0</v>
      </c>
      <c r="K6" s="68">
        <f>IF(Table1214[[#This Row],[stimulus]]=G7, 1, 0)</f>
        <v>1</v>
      </c>
      <c r="L6" s="68">
        <f t="shared" si="0"/>
        <v>0</v>
      </c>
      <c r="M6" s="68">
        <f t="shared" si="1"/>
        <v>1</v>
      </c>
    </row>
    <row r="7" spans="1:13" x14ac:dyDescent="0.3">
      <c r="A7" s="4">
        <v>1</v>
      </c>
      <c r="B7" s="2">
        <v>6</v>
      </c>
      <c r="C7" s="36">
        <v>2</v>
      </c>
      <c r="D7" s="36" t="s">
        <v>80</v>
      </c>
      <c r="E7" s="42" t="s">
        <v>40</v>
      </c>
      <c r="F7" s="15" t="s">
        <v>9</v>
      </c>
      <c r="G7" s="15" t="s">
        <v>44</v>
      </c>
      <c r="H7" s="68"/>
      <c r="I7" s="68" t="s">
        <v>150</v>
      </c>
      <c r="J7" s="37">
        <f>IF(Table1214[[#This Row],[modality]]=D6,1,0)</f>
        <v>1</v>
      </c>
      <c r="K7" s="68">
        <f>IF(Table1214[[#This Row],[stimulus]]=G8, 1, 0)</f>
        <v>0</v>
      </c>
      <c r="L7" s="68">
        <f t="shared" si="0"/>
        <v>0</v>
      </c>
      <c r="M7" s="68">
        <f t="shared" si="1"/>
        <v>0</v>
      </c>
    </row>
    <row r="8" spans="1:13" x14ac:dyDescent="0.3">
      <c r="A8" s="4">
        <v>1</v>
      </c>
      <c r="B8" s="2">
        <v>7</v>
      </c>
      <c r="C8" s="38">
        <v>1</v>
      </c>
      <c r="D8" s="38" t="s">
        <v>81</v>
      </c>
      <c r="E8" s="46" t="s">
        <v>29</v>
      </c>
      <c r="F8" s="27" t="s">
        <v>42</v>
      </c>
      <c r="G8" s="27" t="s">
        <v>73</v>
      </c>
      <c r="H8" s="68"/>
      <c r="I8" s="68"/>
      <c r="J8" s="37">
        <f>IF(Table1214[[#This Row],[modality]]=D7,1,0)</f>
        <v>0</v>
      </c>
      <c r="K8" s="68">
        <f>IF(Table1214[[#This Row],[stimulus]]=G10, 1, 0)</f>
        <v>0</v>
      </c>
      <c r="L8" s="68">
        <f t="shared" si="0"/>
        <v>1</v>
      </c>
      <c r="M8" s="68">
        <f t="shared" si="1"/>
        <v>0</v>
      </c>
    </row>
    <row r="9" spans="1:13" x14ac:dyDescent="0.3">
      <c r="A9" s="4">
        <v>1</v>
      </c>
      <c r="B9" s="2">
        <v>8</v>
      </c>
      <c r="C9" s="81">
        <v>1</v>
      </c>
      <c r="D9" s="81" t="s">
        <v>81</v>
      </c>
      <c r="E9" s="81" t="s">
        <v>29</v>
      </c>
      <c r="F9" s="82" t="s">
        <v>42</v>
      </c>
      <c r="G9" s="82" t="s">
        <v>69</v>
      </c>
      <c r="H9" s="68"/>
      <c r="I9" s="68" t="s">
        <v>151</v>
      </c>
      <c r="J9" s="37">
        <f>IF(Table1214[[#This Row],[modality]]=D8,1,0)</f>
        <v>1</v>
      </c>
      <c r="K9" s="68">
        <f>IF(Table1214[[#This Row],[stimulus]]=G10, 1, 0)</f>
        <v>0</v>
      </c>
      <c r="L9" s="68">
        <f>IF(E8="T",1,0)</f>
        <v>0</v>
      </c>
      <c r="M9" s="68">
        <f>IF(E8="F",1,0)</f>
        <v>1</v>
      </c>
    </row>
    <row r="10" spans="1:13" x14ac:dyDescent="0.3">
      <c r="A10" s="79">
        <v>1</v>
      </c>
      <c r="B10" s="2">
        <v>9</v>
      </c>
      <c r="C10" s="36">
        <v>2</v>
      </c>
      <c r="D10" s="36" t="s">
        <v>80</v>
      </c>
      <c r="E10" s="42" t="s">
        <v>0</v>
      </c>
      <c r="F10" s="15" t="s">
        <v>41</v>
      </c>
      <c r="G10" s="15" t="s">
        <v>45</v>
      </c>
      <c r="H10" s="68"/>
      <c r="I10" s="68" t="s">
        <v>151</v>
      </c>
      <c r="J10" s="37">
        <f>IF(Table1214[[#This Row],[modality]]=D8,1,0)</f>
        <v>0</v>
      </c>
      <c r="K10" s="68">
        <f>IF(Table1214[[#This Row],[stimulus]]=G11, 1, 0)</f>
        <v>1</v>
      </c>
      <c r="L10" s="68">
        <f>IF(E8="T",1,0)</f>
        <v>0</v>
      </c>
      <c r="M10" s="68">
        <f>IF(E8="F",1,0)</f>
        <v>1</v>
      </c>
    </row>
    <row r="11" spans="1:13" x14ac:dyDescent="0.3">
      <c r="A11" s="79">
        <v>1</v>
      </c>
      <c r="B11" s="2">
        <v>10</v>
      </c>
      <c r="C11" s="66">
        <v>1</v>
      </c>
      <c r="D11" s="66" t="s">
        <v>81</v>
      </c>
      <c r="E11" s="69" t="s">
        <v>40</v>
      </c>
      <c r="F11" s="27" t="s">
        <v>10</v>
      </c>
      <c r="G11" s="27" t="s">
        <v>45</v>
      </c>
      <c r="H11" s="68"/>
      <c r="I11" s="68" t="s">
        <v>150</v>
      </c>
      <c r="J11" s="37">
        <f>IF(Table1214[[#This Row],[modality]]=D10,1,0)</f>
        <v>0</v>
      </c>
      <c r="K11" s="68">
        <f>IF(Table1214[[#This Row],[stimulus]]=G12, 1, 0)</f>
        <v>0</v>
      </c>
      <c r="L11" s="68">
        <f t="shared" si="0"/>
        <v>0</v>
      </c>
      <c r="M11" s="68">
        <f t="shared" si="1"/>
        <v>0</v>
      </c>
    </row>
    <row r="12" spans="1:13" x14ac:dyDescent="0.3">
      <c r="A12" s="7">
        <v>1</v>
      </c>
      <c r="B12" s="2">
        <v>11</v>
      </c>
      <c r="C12" s="38">
        <v>2</v>
      </c>
      <c r="D12" s="44" t="s">
        <v>80</v>
      </c>
      <c r="E12" s="46" t="s">
        <v>29</v>
      </c>
      <c r="F12" s="15" t="s">
        <v>42</v>
      </c>
      <c r="G12" s="15" t="s">
        <v>70</v>
      </c>
      <c r="H12" s="68"/>
      <c r="I12" s="68"/>
      <c r="J12" s="37">
        <f>IF(Table1214[[#This Row],[modality]]=D11,1,0)</f>
        <v>0</v>
      </c>
      <c r="K12" s="68">
        <f>IF(Table1214[[#This Row],[stimulus]]=G13, 1, 0)</f>
        <v>0</v>
      </c>
      <c r="L12" s="68">
        <f t="shared" si="0"/>
        <v>1</v>
      </c>
      <c r="M12" s="68">
        <f t="shared" si="1"/>
        <v>0</v>
      </c>
    </row>
    <row r="13" spans="1:13" x14ac:dyDescent="0.3">
      <c r="A13" s="79">
        <v>1</v>
      </c>
      <c r="B13" s="2">
        <v>12</v>
      </c>
      <c r="C13" s="36">
        <v>1</v>
      </c>
      <c r="D13" s="36" t="s">
        <v>81</v>
      </c>
      <c r="E13" s="42" t="s">
        <v>0</v>
      </c>
      <c r="F13" s="15" t="s">
        <v>41</v>
      </c>
      <c r="G13" s="15" t="s">
        <v>46</v>
      </c>
      <c r="H13" s="68"/>
      <c r="I13" s="68" t="s">
        <v>151</v>
      </c>
      <c r="J13" s="37">
        <f>IF(Table1214[[#This Row],[modality]]=D12,1,0)</f>
        <v>0</v>
      </c>
      <c r="K13" s="68">
        <f>IF(Table1214[[#This Row],[stimulus]]=G14, 1, 0)</f>
        <v>1</v>
      </c>
      <c r="L13" s="68">
        <f t="shared" si="0"/>
        <v>0</v>
      </c>
      <c r="M13" s="68">
        <f t="shared" si="1"/>
        <v>1</v>
      </c>
    </row>
    <row r="14" spans="1:13" x14ac:dyDescent="0.3">
      <c r="A14" s="79">
        <v>1</v>
      </c>
      <c r="B14" s="2">
        <v>13</v>
      </c>
      <c r="C14" s="66">
        <v>2</v>
      </c>
      <c r="D14" s="66" t="s">
        <v>80</v>
      </c>
      <c r="E14" s="69" t="s">
        <v>40</v>
      </c>
      <c r="F14" s="27" t="s">
        <v>10</v>
      </c>
      <c r="G14" s="27" t="s">
        <v>46</v>
      </c>
      <c r="H14" s="68"/>
      <c r="I14" s="68" t="s">
        <v>150</v>
      </c>
      <c r="J14" s="37">
        <f>IF(Table1214[[#This Row],[modality]]=D13,1,0)</f>
        <v>0</v>
      </c>
      <c r="K14" s="68">
        <f>IF(Table1214[[#This Row],[stimulus]]=G15, 1, 0)</f>
        <v>0</v>
      </c>
      <c r="L14" s="68">
        <f t="shared" si="0"/>
        <v>0</v>
      </c>
      <c r="M14" s="68">
        <f t="shared" si="1"/>
        <v>0</v>
      </c>
    </row>
    <row r="15" spans="1:13" x14ac:dyDescent="0.3">
      <c r="A15" s="79">
        <v>1</v>
      </c>
      <c r="B15" s="2">
        <v>14</v>
      </c>
      <c r="C15" s="38">
        <v>2</v>
      </c>
      <c r="D15" s="44" t="s">
        <v>80</v>
      </c>
      <c r="E15" s="46" t="s">
        <v>29</v>
      </c>
      <c r="F15" s="15" t="s">
        <v>42</v>
      </c>
      <c r="G15" s="15" t="s">
        <v>72</v>
      </c>
      <c r="H15" s="68"/>
      <c r="I15" s="68"/>
      <c r="J15" s="37">
        <f>IF(Table1214[[#This Row],[modality]]=D14,1,0)</f>
        <v>1</v>
      </c>
      <c r="K15" s="68">
        <f>IF(Table1214[[#This Row],[stimulus]]=G16, 1, 0)</f>
        <v>0</v>
      </c>
      <c r="L15" s="68">
        <f t="shared" si="0"/>
        <v>1</v>
      </c>
      <c r="M15" s="68">
        <f t="shared" si="1"/>
        <v>0</v>
      </c>
    </row>
    <row r="16" spans="1:13" x14ac:dyDescent="0.3">
      <c r="A16" s="7">
        <v>1</v>
      </c>
      <c r="B16" s="2">
        <v>15</v>
      </c>
      <c r="C16" s="66">
        <v>2</v>
      </c>
      <c r="D16" s="66" t="s">
        <v>80</v>
      </c>
      <c r="E16" s="69" t="s">
        <v>0</v>
      </c>
      <c r="F16" s="27" t="s">
        <v>41</v>
      </c>
      <c r="G16" s="27" t="s">
        <v>47</v>
      </c>
      <c r="H16" s="68"/>
      <c r="I16" s="68" t="s">
        <v>151</v>
      </c>
      <c r="J16" s="37">
        <f>IF(Table1214[[#This Row],[modality]]=D15,1,0)</f>
        <v>1</v>
      </c>
      <c r="K16" s="68">
        <f>IF(Table1214[[#This Row],[stimulus]]=G17, 1, 0)</f>
        <v>1</v>
      </c>
      <c r="L16" s="68">
        <f t="shared" si="0"/>
        <v>0</v>
      </c>
      <c r="M16" s="68">
        <f t="shared" si="1"/>
        <v>1</v>
      </c>
    </row>
    <row r="17" spans="1:13" x14ac:dyDescent="0.3">
      <c r="A17" s="7">
        <v>1</v>
      </c>
      <c r="B17" s="2">
        <v>16</v>
      </c>
      <c r="C17" s="36">
        <v>1</v>
      </c>
      <c r="D17" s="36" t="s">
        <v>81</v>
      </c>
      <c r="E17" s="42" t="s">
        <v>40</v>
      </c>
      <c r="F17" s="15" t="s">
        <v>10</v>
      </c>
      <c r="G17" s="15" t="s">
        <v>47</v>
      </c>
      <c r="H17" s="68"/>
      <c r="I17" s="68" t="s">
        <v>150</v>
      </c>
      <c r="J17" s="37">
        <f>IF(Table1214[[#This Row],[modality]]=D16,1,0)</f>
        <v>0</v>
      </c>
      <c r="K17" s="68">
        <f>IF(Table1214[[#This Row],[stimulus]]=G18, 1, 0)</f>
        <v>0</v>
      </c>
      <c r="L17" s="68">
        <f t="shared" si="0"/>
        <v>0</v>
      </c>
      <c r="M17" s="68">
        <f t="shared" si="1"/>
        <v>0</v>
      </c>
    </row>
    <row r="18" spans="1:13" x14ac:dyDescent="0.3">
      <c r="A18" s="7">
        <v>1</v>
      </c>
      <c r="B18" s="2">
        <v>17</v>
      </c>
      <c r="C18" s="38">
        <v>2</v>
      </c>
      <c r="D18" s="38" t="s">
        <v>80</v>
      </c>
      <c r="E18" s="46" t="s">
        <v>29</v>
      </c>
      <c r="F18" s="27" t="s">
        <v>42</v>
      </c>
      <c r="G18" s="27" t="s">
        <v>71</v>
      </c>
      <c r="H18" s="68"/>
      <c r="I18" s="68"/>
      <c r="J18" s="37">
        <f>IF(Table1214[[#This Row],[modality]]=D17,1,0)</f>
        <v>0</v>
      </c>
      <c r="K18" s="68">
        <f>IF(Table1214[[#This Row],[stimulus]]=G19, 1, 0)</f>
        <v>0</v>
      </c>
      <c r="L18" s="68">
        <f t="shared" si="0"/>
        <v>1</v>
      </c>
      <c r="M18" s="68">
        <f t="shared" si="1"/>
        <v>0</v>
      </c>
    </row>
    <row r="19" spans="1:13" x14ac:dyDescent="0.3">
      <c r="A19" s="7">
        <v>1</v>
      </c>
      <c r="B19" s="2">
        <v>18</v>
      </c>
      <c r="C19" s="36">
        <v>1</v>
      </c>
      <c r="D19" s="36" t="s">
        <v>81</v>
      </c>
      <c r="E19" s="42" t="s">
        <v>0</v>
      </c>
      <c r="F19" s="15" t="s">
        <v>41</v>
      </c>
      <c r="G19" s="15" t="s">
        <v>48</v>
      </c>
      <c r="H19" s="68"/>
      <c r="I19" s="68" t="s">
        <v>151</v>
      </c>
      <c r="J19" s="37">
        <f>IF(Table1214[[#This Row],[modality]]=D18,1,0)</f>
        <v>0</v>
      </c>
      <c r="K19" s="68">
        <f>IF(Table1214[[#This Row],[stimulus]]=G20, 1, 0)</f>
        <v>1</v>
      </c>
      <c r="L19" s="68">
        <f t="shared" si="0"/>
        <v>0</v>
      </c>
      <c r="M19" s="68">
        <f t="shared" si="1"/>
        <v>1</v>
      </c>
    </row>
    <row r="20" spans="1:13" x14ac:dyDescent="0.3">
      <c r="A20" s="7">
        <v>1</v>
      </c>
      <c r="B20" s="2">
        <v>19</v>
      </c>
      <c r="C20" s="66">
        <v>1</v>
      </c>
      <c r="D20" s="66" t="s">
        <v>81</v>
      </c>
      <c r="E20" s="69" t="s">
        <v>40</v>
      </c>
      <c r="F20" s="27" t="s">
        <v>9</v>
      </c>
      <c r="G20" s="27" t="s">
        <v>48</v>
      </c>
      <c r="H20" s="68"/>
      <c r="I20" s="68" t="s">
        <v>150</v>
      </c>
      <c r="J20" s="37">
        <f>IF(Table1214[[#This Row],[modality]]=D19,1,0)</f>
        <v>1</v>
      </c>
      <c r="K20" s="68">
        <f>IF(Table1214[[#This Row],[stimulus]]=G21, 1, 0)</f>
        <v>0</v>
      </c>
      <c r="L20" s="68">
        <f t="shared" si="0"/>
        <v>0</v>
      </c>
      <c r="M20" s="68">
        <f t="shared" si="1"/>
        <v>0</v>
      </c>
    </row>
    <row r="21" spans="1:13" x14ac:dyDescent="0.3">
      <c r="A21" s="79">
        <v>1</v>
      </c>
      <c r="B21" s="2">
        <v>20</v>
      </c>
      <c r="C21" s="38">
        <v>1</v>
      </c>
      <c r="D21" s="44" t="s">
        <v>81</v>
      </c>
      <c r="E21" s="46" t="s">
        <v>29</v>
      </c>
      <c r="F21" s="48" t="s">
        <v>42</v>
      </c>
      <c r="G21" s="15" t="s">
        <v>68</v>
      </c>
      <c r="H21" s="78"/>
      <c r="I21" s="78"/>
      <c r="J21" s="37">
        <f>IF(Table1214[[#This Row],[modality]]=D20,1,0)</f>
        <v>1</v>
      </c>
      <c r="K21" s="68">
        <f>IF(Table1214[[#This Row],[stimulus]]=G22, 1, 0)</f>
        <v>0</v>
      </c>
      <c r="L21" s="68">
        <f t="shared" si="0"/>
        <v>1</v>
      </c>
      <c r="M21" s="68">
        <f t="shared" si="1"/>
        <v>0</v>
      </c>
    </row>
    <row r="22" spans="1:13" x14ac:dyDescent="0.3">
      <c r="A22" s="7">
        <v>1</v>
      </c>
      <c r="B22" s="2">
        <v>21</v>
      </c>
      <c r="C22" s="37">
        <v>1</v>
      </c>
      <c r="D22" s="37" t="s">
        <v>81</v>
      </c>
      <c r="E22" s="43" t="s">
        <v>0</v>
      </c>
      <c r="F22" s="4" t="s">
        <v>41</v>
      </c>
      <c r="G22" s="4" t="s">
        <v>49</v>
      </c>
      <c r="H22" s="68"/>
      <c r="I22" s="68" t="s">
        <v>151</v>
      </c>
      <c r="J22" s="37">
        <f>IF(Table1214[[#This Row],[modality]]=D21,1,0)</f>
        <v>1</v>
      </c>
      <c r="K22" s="68">
        <f>IF(Table1214[[#This Row],[stimulus]]=G23, 1, 0)</f>
        <v>1</v>
      </c>
      <c r="L22" s="68">
        <f t="shared" si="0"/>
        <v>0</v>
      </c>
      <c r="M22" s="68">
        <f t="shared" si="1"/>
        <v>1</v>
      </c>
    </row>
    <row r="23" spans="1:13" x14ac:dyDescent="0.3">
      <c r="A23" s="7">
        <v>1</v>
      </c>
      <c r="B23" s="2">
        <v>22</v>
      </c>
      <c r="C23" s="36">
        <v>1</v>
      </c>
      <c r="D23" s="36" t="s">
        <v>81</v>
      </c>
      <c r="E23" s="42" t="s">
        <v>40</v>
      </c>
      <c r="F23" s="15" t="s">
        <v>9</v>
      </c>
      <c r="G23" s="15" t="s">
        <v>49</v>
      </c>
      <c r="H23" s="68"/>
      <c r="I23" s="68" t="s">
        <v>150</v>
      </c>
      <c r="J23" s="37">
        <f>IF(Table1214[[#This Row],[modality]]=D22,1,0)</f>
        <v>1</v>
      </c>
      <c r="K23" s="68">
        <f>IF(Table1214[[#This Row],[stimulus]]=G24, 1, 0)</f>
        <v>0</v>
      </c>
      <c r="L23" s="68">
        <f t="shared" si="0"/>
        <v>0</v>
      </c>
      <c r="M23" s="68">
        <f t="shared" si="1"/>
        <v>0</v>
      </c>
    </row>
    <row r="24" spans="1:13" x14ac:dyDescent="0.3">
      <c r="A24" s="7">
        <v>1</v>
      </c>
      <c r="B24" s="2">
        <v>23</v>
      </c>
      <c r="C24" s="38">
        <v>2</v>
      </c>
      <c r="D24" s="38" t="s">
        <v>80</v>
      </c>
      <c r="E24" s="46" t="s">
        <v>29</v>
      </c>
      <c r="F24" s="4" t="s">
        <v>42</v>
      </c>
      <c r="G24" s="4" t="s">
        <v>69</v>
      </c>
      <c r="H24" s="68"/>
      <c r="I24" s="68"/>
      <c r="J24" s="37">
        <f>IF(Table1214[[#This Row],[modality]]=D23,1,0)</f>
        <v>0</v>
      </c>
      <c r="K24" s="68">
        <f>IF(Table1214[[#This Row],[stimulus]]=G26, 1, 0)</f>
        <v>0</v>
      </c>
      <c r="L24" s="68">
        <f>IF(E23="T",1,0)</f>
        <v>1</v>
      </c>
      <c r="M24" s="68">
        <f>IF(E23="F",1,0)</f>
        <v>0</v>
      </c>
    </row>
    <row r="25" spans="1:13" x14ac:dyDescent="0.3">
      <c r="A25" s="4">
        <v>1</v>
      </c>
      <c r="B25" s="2">
        <v>24</v>
      </c>
      <c r="C25" s="76">
        <v>2</v>
      </c>
      <c r="D25" s="76" t="s">
        <v>80</v>
      </c>
      <c r="E25" s="76" t="s">
        <v>29</v>
      </c>
      <c r="F25" s="75" t="s">
        <v>42</v>
      </c>
      <c r="G25" s="75" t="s">
        <v>73</v>
      </c>
      <c r="H25" s="68"/>
      <c r="I25" s="68" t="s">
        <v>151</v>
      </c>
      <c r="J25" s="37">
        <f>IF(Table1214[[#This Row],[modality]]=D24,1,0)</f>
        <v>1</v>
      </c>
      <c r="K25" s="68">
        <f>IF(Table1214[[#This Row],[stimulus]]=G26, 1, 0)</f>
        <v>0</v>
      </c>
      <c r="L25" s="68">
        <f>IF(E24="T",1,0)</f>
        <v>0</v>
      </c>
      <c r="M25" s="68">
        <f>IF(E24="F",1,0)</f>
        <v>1</v>
      </c>
    </row>
    <row r="26" spans="1:13" x14ac:dyDescent="0.3">
      <c r="A26" s="4">
        <v>1</v>
      </c>
      <c r="B26" s="2">
        <v>25</v>
      </c>
      <c r="C26" s="38">
        <v>1</v>
      </c>
      <c r="D26" s="38" t="s">
        <v>81</v>
      </c>
      <c r="E26" s="46" t="s">
        <v>29</v>
      </c>
      <c r="F26" s="15" t="s">
        <v>42</v>
      </c>
      <c r="G26" s="27" t="s">
        <v>67</v>
      </c>
      <c r="H26" s="78"/>
      <c r="I26" s="68" t="s">
        <v>151</v>
      </c>
      <c r="J26" s="37">
        <f>IF(Table1214[[#This Row],[modality]]=D24,1,0)</f>
        <v>0</v>
      </c>
      <c r="K26" s="68">
        <f>IF(Table1214[[#This Row],[stimulus]]=G27, 1, 0)</f>
        <v>0</v>
      </c>
      <c r="L26" s="68">
        <f>IF(E24="T",1,0)</f>
        <v>0</v>
      </c>
      <c r="M26" s="68">
        <f>IF(E24="F",1,0)</f>
        <v>1</v>
      </c>
    </row>
    <row r="27" spans="1:13" x14ac:dyDescent="0.3">
      <c r="A27" s="7">
        <v>1</v>
      </c>
      <c r="B27" s="2">
        <v>26</v>
      </c>
      <c r="C27" s="36">
        <v>1</v>
      </c>
      <c r="D27" s="36" t="s">
        <v>81</v>
      </c>
      <c r="E27" s="42" t="s">
        <v>0</v>
      </c>
      <c r="F27" s="15" t="s">
        <v>41</v>
      </c>
      <c r="G27" s="15" t="s">
        <v>50</v>
      </c>
      <c r="H27" s="68"/>
      <c r="I27" s="68" t="s">
        <v>151</v>
      </c>
      <c r="J27" s="37">
        <f>IF(Table1214[[#This Row],[modality]]=D26,1,0)</f>
        <v>1</v>
      </c>
      <c r="K27" s="68">
        <f>IF(Table1214[[#This Row],[stimulus]]=G28, 1, 0)</f>
        <v>1</v>
      </c>
      <c r="L27" s="68">
        <f t="shared" si="0"/>
        <v>0</v>
      </c>
      <c r="M27" s="68">
        <f t="shared" si="1"/>
        <v>1</v>
      </c>
    </row>
    <row r="28" spans="1:13" x14ac:dyDescent="0.3">
      <c r="A28" s="7">
        <v>1</v>
      </c>
      <c r="B28" s="2">
        <v>27</v>
      </c>
      <c r="C28" s="66">
        <v>2</v>
      </c>
      <c r="D28" s="66" t="s">
        <v>80</v>
      </c>
      <c r="E28" s="69" t="s">
        <v>40</v>
      </c>
      <c r="F28" s="27" t="s">
        <v>10</v>
      </c>
      <c r="G28" s="27" t="s">
        <v>50</v>
      </c>
      <c r="H28" s="68"/>
      <c r="I28" s="68" t="s">
        <v>150</v>
      </c>
      <c r="J28" s="37">
        <f>IF(Table1214[[#This Row],[modality]]=D27,1,0)</f>
        <v>0</v>
      </c>
      <c r="K28" s="68">
        <f>IF(Table1214[[#This Row],[stimulus]]=G29, 1, 0)</f>
        <v>0</v>
      </c>
      <c r="L28" s="68">
        <f t="shared" si="0"/>
        <v>0</v>
      </c>
      <c r="M28" s="68">
        <f t="shared" si="1"/>
        <v>0</v>
      </c>
    </row>
    <row r="29" spans="1:13" x14ac:dyDescent="0.3">
      <c r="A29" s="4">
        <v>2</v>
      </c>
      <c r="B29" s="2">
        <v>28</v>
      </c>
      <c r="C29" s="39">
        <v>2</v>
      </c>
      <c r="D29" s="39" t="s">
        <v>80</v>
      </c>
      <c r="E29" s="39" t="s">
        <v>29</v>
      </c>
      <c r="F29" s="4" t="s">
        <v>42</v>
      </c>
      <c r="G29" s="4" t="s">
        <v>43</v>
      </c>
      <c r="H29" s="68"/>
      <c r="I29" s="68"/>
      <c r="J29" s="37">
        <f>IF(Table1214[[#This Row],[modality]]=D28,1,0)</f>
        <v>1</v>
      </c>
      <c r="K29" s="68">
        <f>IF(Table1214[[#This Row],[stimulus]]=G30, 1, 0)</f>
        <v>0</v>
      </c>
      <c r="L29" s="68">
        <f t="shared" si="0"/>
        <v>1</v>
      </c>
      <c r="M29" s="68">
        <f t="shared" si="1"/>
        <v>0</v>
      </c>
    </row>
    <row r="30" spans="1:13" x14ac:dyDescent="0.3">
      <c r="A30" s="4">
        <v>2</v>
      </c>
      <c r="B30" s="2">
        <v>29</v>
      </c>
      <c r="C30" s="36">
        <v>1</v>
      </c>
      <c r="D30" s="36" t="s">
        <v>81</v>
      </c>
      <c r="E30" s="42" t="s">
        <v>0</v>
      </c>
      <c r="F30" s="15" t="s">
        <v>41</v>
      </c>
      <c r="G30" s="15" t="s">
        <v>58</v>
      </c>
      <c r="H30" s="68"/>
      <c r="I30" s="68" t="s">
        <v>151</v>
      </c>
      <c r="J30" s="37">
        <f>IF(Table1214[[#This Row],[modality]]=D29,1,0)</f>
        <v>0</v>
      </c>
      <c r="K30" s="68">
        <f>IF(Table1214[[#This Row],[stimulus]]=G31, 1, 0)</f>
        <v>1</v>
      </c>
      <c r="L30" s="68">
        <f t="shared" si="0"/>
        <v>0</v>
      </c>
      <c r="M30" s="68">
        <f t="shared" si="1"/>
        <v>1</v>
      </c>
    </row>
    <row r="31" spans="1:13" x14ac:dyDescent="0.3">
      <c r="A31" s="4">
        <v>2</v>
      </c>
      <c r="B31" s="2">
        <v>30</v>
      </c>
      <c r="C31" s="37">
        <v>1</v>
      </c>
      <c r="D31" s="37" t="s">
        <v>81</v>
      </c>
      <c r="E31" s="43" t="s">
        <v>40</v>
      </c>
      <c r="F31" s="4" t="s">
        <v>9</v>
      </c>
      <c r="G31" s="4" t="s">
        <v>58</v>
      </c>
      <c r="H31" s="68"/>
      <c r="I31" s="68" t="s">
        <v>150</v>
      </c>
      <c r="J31" s="37">
        <f>IF(Table1214[[#This Row],[modality]]=D30,1,0)</f>
        <v>1</v>
      </c>
      <c r="K31" s="68">
        <f>IF(Table1214[[#This Row],[stimulus]]=G32, 1, 0)</f>
        <v>0</v>
      </c>
      <c r="L31" s="68">
        <f t="shared" si="0"/>
        <v>0</v>
      </c>
      <c r="M31" s="68">
        <f t="shared" si="1"/>
        <v>0</v>
      </c>
    </row>
    <row r="32" spans="1:13" x14ac:dyDescent="0.3">
      <c r="A32" s="4">
        <v>2</v>
      </c>
      <c r="B32" s="2">
        <v>31</v>
      </c>
      <c r="C32" s="39">
        <v>2</v>
      </c>
      <c r="D32" s="39" t="s">
        <v>80</v>
      </c>
      <c r="E32" s="39" t="s">
        <v>29</v>
      </c>
      <c r="F32" s="15" t="s">
        <v>42</v>
      </c>
      <c r="G32" s="15" t="s">
        <v>44</v>
      </c>
      <c r="H32" s="68"/>
      <c r="I32" s="68"/>
      <c r="J32" s="37">
        <f>IF(Table1214[[#This Row],[modality]]=D31,1,0)</f>
        <v>0</v>
      </c>
      <c r="K32" s="68">
        <f>IF(Table1214[[#This Row],[stimulus]]=G33, 1, 0)</f>
        <v>0</v>
      </c>
      <c r="L32" s="68">
        <f t="shared" si="0"/>
        <v>1</v>
      </c>
      <c r="M32" s="68">
        <f t="shared" si="1"/>
        <v>0</v>
      </c>
    </row>
    <row r="33" spans="1:13" x14ac:dyDescent="0.3">
      <c r="A33" s="4">
        <v>2</v>
      </c>
      <c r="B33" s="2">
        <v>32</v>
      </c>
      <c r="C33" s="36">
        <v>1</v>
      </c>
      <c r="D33" s="37" t="s">
        <v>81</v>
      </c>
      <c r="E33" s="42" t="s">
        <v>0</v>
      </c>
      <c r="F33" s="15" t="s">
        <v>41</v>
      </c>
      <c r="G33" s="15" t="s">
        <v>57</v>
      </c>
      <c r="H33" s="68"/>
      <c r="I33" s="68" t="s">
        <v>151</v>
      </c>
      <c r="J33" s="37">
        <f>IF(Table1214[[#This Row],[modality]]=D32,1,0)</f>
        <v>0</v>
      </c>
      <c r="K33" s="68">
        <f>IF(Table1214[[#This Row],[stimulus]]=G34, 1, 0)</f>
        <v>1</v>
      </c>
      <c r="L33" s="68">
        <f>IF(E32="T",1,0)</f>
        <v>0</v>
      </c>
      <c r="M33" s="68">
        <f>IF(E32="F",1,0)</f>
        <v>1</v>
      </c>
    </row>
    <row r="34" spans="1:13" x14ac:dyDescent="0.3">
      <c r="A34" s="4">
        <v>2</v>
      </c>
      <c r="B34" s="2">
        <v>33</v>
      </c>
      <c r="C34" s="66">
        <v>1</v>
      </c>
      <c r="D34" s="66" t="s">
        <v>81</v>
      </c>
      <c r="E34" s="69" t="s">
        <v>40</v>
      </c>
      <c r="F34" s="27" t="s">
        <v>9</v>
      </c>
      <c r="G34" s="27" t="s">
        <v>57</v>
      </c>
      <c r="H34" s="68"/>
      <c r="I34" s="68" t="s">
        <v>150</v>
      </c>
      <c r="J34" s="37">
        <f>IF(Table1214[[#This Row],[modality]]=D33,1,0)</f>
        <v>1</v>
      </c>
      <c r="K34" s="68">
        <f>IF(Table1214[[#This Row],[stimulus]]=G35, 1, 0)</f>
        <v>0</v>
      </c>
      <c r="L34" s="68">
        <f>IF(E33="T",1,0)</f>
        <v>0</v>
      </c>
      <c r="M34" s="68">
        <f>IF(E33="F",1,0)</f>
        <v>0</v>
      </c>
    </row>
    <row r="35" spans="1:13" x14ac:dyDescent="0.3">
      <c r="A35" s="4">
        <v>2</v>
      </c>
      <c r="B35" s="2">
        <v>34</v>
      </c>
      <c r="C35" s="39">
        <v>2</v>
      </c>
      <c r="D35" s="39" t="s">
        <v>80</v>
      </c>
      <c r="E35" s="39" t="s">
        <v>29</v>
      </c>
      <c r="F35" s="15" t="s">
        <v>42</v>
      </c>
      <c r="G35" s="15" t="s">
        <v>46</v>
      </c>
      <c r="H35" s="68"/>
      <c r="I35" s="68"/>
      <c r="J35" s="37">
        <f>IF(Table1214[[#This Row],[modality]]=D34,1,0)</f>
        <v>0</v>
      </c>
      <c r="K35" s="68">
        <f>IF(Table1214[[#This Row],[stimulus]]=G37, 1, 0)</f>
        <v>0</v>
      </c>
      <c r="L35" s="68">
        <f>IF(E34="T",1,0)</f>
        <v>1</v>
      </c>
      <c r="M35" s="68">
        <f>IF(E34="F",1,0)</f>
        <v>0</v>
      </c>
    </row>
    <row r="36" spans="1:13" x14ac:dyDescent="0.3">
      <c r="A36" s="4">
        <v>2</v>
      </c>
      <c r="B36" s="2">
        <v>35</v>
      </c>
      <c r="C36" s="76">
        <v>2</v>
      </c>
      <c r="D36" s="76" t="s">
        <v>80</v>
      </c>
      <c r="E36" s="76" t="s">
        <v>29</v>
      </c>
      <c r="F36" s="75" t="s">
        <v>42</v>
      </c>
      <c r="G36" s="75" t="s">
        <v>45</v>
      </c>
      <c r="H36" s="68"/>
      <c r="I36" s="68" t="s">
        <v>151</v>
      </c>
      <c r="J36" s="37">
        <f>IF(Table1214[[#This Row],[modality]]=D35,1,0)</f>
        <v>1</v>
      </c>
      <c r="K36" s="68">
        <f>IF(Table1214[[#This Row],[stimulus]]=G37, 1, 0)</f>
        <v>0</v>
      </c>
      <c r="L36" s="68">
        <f>IF(E35="T",1,0)</f>
        <v>0</v>
      </c>
      <c r="M36" s="68">
        <f>IF(E35="F",1,0)</f>
        <v>1</v>
      </c>
    </row>
    <row r="37" spans="1:13" x14ac:dyDescent="0.3">
      <c r="A37" s="4">
        <v>2</v>
      </c>
      <c r="B37" s="2">
        <v>36</v>
      </c>
      <c r="C37" s="36">
        <v>1</v>
      </c>
      <c r="D37" s="37" t="s">
        <v>81</v>
      </c>
      <c r="E37" s="42" t="s">
        <v>0</v>
      </c>
      <c r="F37" s="15" t="s">
        <v>41</v>
      </c>
      <c r="G37" s="15" t="s">
        <v>56</v>
      </c>
      <c r="H37" s="68"/>
      <c r="I37" s="68" t="s">
        <v>151</v>
      </c>
      <c r="J37" s="37">
        <f>IF(Table1214[[#This Row],[modality]]=D35,1,0)</f>
        <v>0</v>
      </c>
      <c r="K37" s="68">
        <f>IF(Table1214[[#This Row],[stimulus]]=G38, 1, 0)</f>
        <v>1</v>
      </c>
      <c r="L37" s="68">
        <f>IF(E35="T",1,0)</f>
        <v>0</v>
      </c>
      <c r="M37" s="68">
        <f>IF(E35="F",1,0)</f>
        <v>1</v>
      </c>
    </row>
    <row r="38" spans="1:13" x14ac:dyDescent="0.3">
      <c r="A38" s="4">
        <v>2</v>
      </c>
      <c r="B38" s="2">
        <v>37</v>
      </c>
      <c r="C38" s="66">
        <v>2</v>
      </c>
      <c r="D38" s="66" t="s">
        <v>80</v>
      </c>
      <c r="E38" s="69" t="s">
        <v>40</v>
      </c>
      <c r="F38" s="27" t="s">
        <v>10</v>
      </c>
      <c r="G38" s="27" t="s">
        <v>56</v>
      </c>
      <c r="H38" s="68"/>
      <c r="I38" s="68" t="s">
        <v>150</v>
      </c>
      <c r="J38" s="37">
        <f>IF(Table1214[[#This Row],[modality]]=D37,1,0)</f>
        <v>0</v>
      </c>
      <c r="K38" s="68">
        <f>IF(Table1214[[#This Row],[stimulus]]=G39, 1, 0)</f>
        <v>0</v>
      </c>
      <c r="L38" s="68">
        <f t="shared" ref="L38:L51" si="2">IF(E37="T",1,0)</f>
        <v>0</v>
      </c>
      <c r="M38" s="68">
        <f t="shared" ref="M38:M51" si="3">IF(E37="F",1,0)</f>
        <v>0</v>
      </c>
    </row>
    <row r="39" spans="1:13" x14ac:dyDescent="0.3">
      <c r="A39" s="4">
        <v>2</v>
      </c>
      <c r="B39" s="2">
        <v>38</v>
      </c>
      <c r="C39" s="36">
        <v>2</v>
      </c>
      <c r="D39" s="37" t="s">
        <v>80</v>
      </c>
      <c r="E39" s="42" t="s">
        <v>0</v>
      </c>
      <c r="F39" s="15" t="s">
        <v>41</v>
      </c>
      <c r="G39" s="15" t="s">
        <v>55</v>
      </c>
      <c r="H39" s="68"/>
      <c r="I39" s="68" t="s">
        <v>151</v>
      </c>
      <c r="J39" s="37">
        <f>IF(Table1214[[#This Row],[modality]]=D38,1,0)</f>
        <v>1</v>
      </c>
      <c r="K39" s="68">
        <f>IF(Table1214[[#This Row],[stimulus]]=G40, 1, 0)</f>
        <v>1</v>
      </c>
      <c r="L39" s="68">
        <f t="shared" si="2"/>
        <v>1</v>
      </c>
      <c r="M39" s="68">
        <f t="shared" si="3"/>
        <v>0</v>
      </c>
    </row>
    <row r="40" spans="1:13" x14ac:dyDescent="0.3">
      <c r="A40" s="4">
        <v>2</v>
      </c>
      <c r="B40" s="2">
        <v>39</v>
      </c>
      <c r="C40" s="66">
        <v>1</v>
      </c>
      <c r="D40" s="66" t="s">
        <v>81</v>
      </c>
      <c r="E40" s="69" t="s">
        <v>40</v>
      </c>
      <c r="F40" s="27" t="s">
        <v>10</v>
      </c>
      <c r="G40" s="27" t="s">
        <v>55</v>
      </c>
      <c r="H40" s="68"/>
      <c r="I40" s="68" t="s">
        <v>150</v>
      </c>
      <c r="J40" s="37">
        <f>IF(Table1214[[#This Row],[modality]]=D39,1,0)</f>
        <v>0</v>
      </c>
      <c r="K40" s="68">
        <f>IF(Table1214[[#This Row],[stimulus]]=G41, 1, 0)</f>
        <v>0</v>
      </c>
      <c r="L40" s="68">
        <f t="shared" si="2"/>
        <v>0</v>
      </c>
      <c r="M40" s="68">
        <f t="shared" si="3"/>
        <v>0</v>
      </c>
    </row>
    <row r="41" spans="1:13" x14ac:dyDescent="0.3">
      <c r="A41" s="4">
        <v>2</v>
      </c>
      <c r="B41" s="2">
        <v>40</v>
      </c>
      <c r="C41" s="39">
        <v>1</v>
      </c>
      <c r="D41" s="39" t="s">
        <v>81</v>
      </c>
      <c r="E41" s="39" t="s">
        <v>29</v>
      </c>
      <c r="F41" s="4" t="s">
        <v>42</v>
      </c>
      <c r="G41" s="4" t="s">
        <v>45</v>
      </c>
      <c r="H41" s="68"/>
      <c r="I41" s="68"/>
      <c r="J41" s="37">
        <f>IF(Table1214[[#This Row],[modality]]=D40,1,0)</f>
        <v>1</v>
      </c>
      <c r="K41" s="68">
        <f>IF(Table1214[[#This Row],[stimulus]]=G42, 1, 0)</f>
        <v>0</v>
      </c>
      <c r="L41" s="68">
        <f t="shared" si="2"/>
        <v>1</v>
      </c>
      <c r="M41" s="68">
        <f t="shared" si="3"/>
        <v>0</v>
      </c>
    </row>
    <row r="42" spans="1:13" x14ac:dyDescent="0.3">
      <c r="A42" s="4">
        <v>2</v>
      </c>
      <c r="B42" s="2">
        <v>41</v>
      </c>
      <c r="C42" s="36">
        <v>1</v>
      </c>
      <c r="D42" s="66" t="s">
        <v>81</v>
      </c>
      <c r="E42" s="42" t="s">
        <v>0</v>
      </c>
      <c r="F42" s="15" t="s">
        <v>41</v>
      </c>
      <c r="G42" s="15" t="s">
        <v>54</v>
      </c>
      <c r="H42" s="68"/>
      <c r="I42" s="68" t="s">
        <v>151</v>
      </c>
      <c r="J42" s="37">
        <f>IF(Table1214[[#This Row],[modality]]=D41,1,0)</f>
        <v>1</v>
      </c>
      <c r="K42" s="68">
        <f>IF(Table1214[[#This Row],[stimulus]]=G43, 1, 0)</f>
        <v>1</v>
      </c>
      <c r="L42" s="68">
        <f t="shared" si="2"/>
        <v>0</v>
      </c>
      <c r="M42" s="68">
        <f t="shared" si="3"/>
        <v>1</v>
      </c>
    </row>
    <row r="43" spans="1:13" x14ac:dyDescent="0.3">
      <c r="A43" s="4">
        <v>2</v>
      </c>
      <c r="B43" s="2">
        <v>42</v>
      </c>
      <c r="C43" s="37">
        <v>2</v>
      </c>
      <c r="D43" s="37" t="s">
        <v>80</v>
      </c>
      <c r="E43" s="43" t="s">
        <v>40</v>
      </c>
      <c r="F43" s="4" t="s">
        <v>10</v>
      </c>
      <c r="G43" s="4" t="s">
        <v>54</v>
      </c>
      <c r="H43" s="68"/>
      <c r="I43" s="68" t="s">
        <v>150</v>
      </c>
      <c r="J43" s="37">
        <f>IF(Table1214[[#This Row],[modality]]=D42,1,0)</f>
        <v>0</v>
      </c>
      <c r="K43" s="68">
        <f>IF(Table1214[[#This Row],[stimulus]]=G44, 1, 0)</f>
        <v>0</v>
      </c>
      <c r="L43" s="68">
        <f t="shared" si="2"/>
        <v>0</v>
      </c>
      <c r="M43" s="68">
        <f t="shared" si="3"/>
        <v>0</v>
      </c>
    </row>
    <row r="44" spans="1:13" x14ac:dyDescent="0.3">
      <c r="A44" s="4">
        <v>2</v>
      </c>
      <c r="B44" s="2">
        <v>43</v>
      </c>
      <c r="C44" s="39">
        <v>1</v>
      </c>
      <c r="D44" s="39" t="s">
        <v>81</v>
      </c>
      <c r="E44" s="39" t="s">
        <v>29</v>
      </c>
      <c r="F44" s="4" t="s">
        <v>42</v>
      </c>
      <c r="G44" s="4" t="s">
        <v>49</v>
      </c>
      <c r="H44" s="68"/>
      <c r="I44" s="68"/>
      <c r="J44" s="37">
        <f>IF(Table1214[[#This Row],[modality]]=D43,1,0)</f>
        <v>0</v>
      </c>
      <c r="K44" s="68">
        <f>IF(Table1214[[#This Row],[stimulus]]=G45, 1, 0)</f>
        <v>0</v>
      </c>
      <c r="L44" s="68">
        <f t="shared" si="2"/>
        <v>1</v>
      </c>
      <c r="M44" s="68">
        <f t="shared" si="3"/>
        <v>0</v>
      </c>
    </row>
    <row r="45" spans="1:13" x14ac:dyDescent="0.3">
      <c r="A45" s="4">
        <v>2</v>
      </c>
      <c r="B45" s="2">
        <v>44</v>
      </c>
      <c r="C45" s="39">
        <v>2</v>
      </c>
      <c r="D45" s="39" t="s">
        <v>80</v>
      </c>
      <c r="E45" s="39" t="s">
        <v>29</v>
      </c>
      <c r="F45" s="27" t="s">
        <v>42</v>
      </c>
      <c r="G45" s="27" t="s">
        <v>47</v>
      </c>
      <c r="H45" s="68"/>
      <c r="I45" s="68" t="s">
        <v>151</v>
      </c>
      <c r="J45" s="37">
        <f>IF(Table1214[[#This Row],[modality]]=D44,1,0)</f>
        <v>0</v>
      </c>
      <c r="K45" s="68">
        <f>IF(Table1214[[#This Row],[stimulus]]=G46, 1, 0)</f>
        <v>0</v>
      </c>
      <c r="L45" s="68">
        <f t="shared" si="2"/>
        <v>0</v>
      </c>
      <c r="M45" s="68">
        <f t="shared" si="3"/>
        <v>1</v>
      </c>
    </row>
    <row r="46" spans="1:13" x14ac:dyDescent="0.3">
      <c r="A46" s="4">
        <v>2</v>
      </c>
      <c r="B46" s="2">
        <v>45</v>
      </c>
      <c r="C46" s="36">
        <v>2</v>
      </c>
      <c r="D46" s="36" t="s">
        <v>80</v>
      </c>
      <c r="E46" s="42" t="s">
        <v>0</v>
      </c>
      <c r="F46" s="15" t="s">
        <v>41</v>
      </c>
      <c r="G46" s="15" t="s">
        <v>53</v>
      </c>
      <c r="H46" s="68"/>
      <c r="I46" s="68" t="s">
        <v>151</v>
      </c>
      <c r="J46" s="37">
        <f>IF(Table1214[[#This Row],[modality]]=D45,1,0)</f>
        <v>1</v>
      </c>
      <c r="K46" s="68">
        <f>IF(Table1214[[#This Row],[stimulus]]=G47, 1, 0)</f>
        <v>1</v>
      </c>
      <c r="L46" s="68">
        <f t="shared" si="2"/>
        <v>0</v>
      </c>
      <c r="M46" s="68">
        <f t="shared" si="3"/>
        <v>1</v>
      </c>
    </row>
    <row r="47" spans="1:13" x14ac:dyDescent="0.3">
      <c r="A47" s="4">
        <v>2</v>
      </c>
      <c r="B47" s="2">
        <v>46</v>
      </c>
      <c r="C47" s="66">
        <v>2</v>
      </c>
      <c r="D47" s="66" t="s">
        <v>80</v>
      </c>
      <c r="E47" s="69" t="s">
        <v>40</v>
      </c>
      <c r="F47" s="27" t="s">
        <v>9</v>
      </c>
      <c r="G47" s="27" t="s">
        <v>53</v>
      </c>
      <c r="H47" s="68"/>
      <c r="I47" s="68" t="s">
        <v>150</v>
      </c>
      <c r="J47" s="37">
        <f>IF(Table1214[[#This Row],[modality]]=D46,1,0)</f>
        <v>1</v>
      </c>
      <c r="K47" s="68">
        <f>IF(Table1214[[#This Row],[stimulus]]=G48, 1, 0)</f>
        <v>0</v>
      </c>
      <c r="L47" s="68">
        <f t="shared" si="2"/>
        <v>0</v>
      </c>
      <c r="M47" s="68">
        <f t="shared" si="3"/>
        <v>0</v>
      </c>
    </row>
    <row r="48" spans="1:13" x14ac:dyDescent="0.3">
      <c r="A48" s="4">
        <v>2</v>
      </c>
      <c r="B48" s="2">
        <v>47</v>
      </c>
      <c r="C48" s="39">
        <v>1</v>
      </c>
      <c r="D48" s="39" t="s">
        <v>81</v>
      </c>
      <c r="E48" s="39" t="s">
        <v>29</v>
      </c>
      <c r="F48" s="15" t="s">
        <v>42</v>
      </c>
      <c r="G48" s="15" t="s">
        <v>48</v>
      </c>
      <c r="H48" s="68"/>
      <c r="I48" s="68"/>
      <c r="J48" s="37">
        <f>IF(Table1214[[#This Row],[modality]]=D47,1,0)</f>
        <v>0</v>
      </c>
      <c r="K48" s="68">
        <f>IF(Table1214[[#This Row],[stimulus]]=G49, 1, 0)</f>
        <v>0</v>
      </c>
      <c r="L48" s="68">
        <f t="shared" si="2"/>
        <v>1</v>
      </c>
      <c r="M48" s="68">
        <f t="shared" si="3"/>
        <v>0</v>
      </c>
    </row>
    <row r="49" spans="1:13" x14ac:dyDescent="0.3">
      <c r="A49" s="4">
        <v>2</v>
      </c>
      <c r="B49" s="2">
        <v>48</v>
      </c>
      <c r="C49" s="66">
        <v>2</v>
      </c>
      <c r="D49" s="66" t="s">
        <v>80</v>
      </c>
      <c r="E49" s="69" t="s">
        <v>0</v>
      </c>
      <c r="F49" s="27" t="s">
        <v>41</v>
      </c>
      <c r="G49" s="27" t="s">
        <v>52</v>
      </c>
      <c r="H49" s="68"/>
      <c r="I49" s="68" t="s">
        <v>151</v>
      </c>
      <c r="J49" s="37">
        <f>IF(Table1214[[#This Row],[modality]]=D48,1,0)</f>
        <v>0</v>
      </c>
      <c r="K49" s="68">
        <f>IF(Table1214[[#This Row],[stimulus]]=G50, 1, 0)</f>
        <v>1</v>
      </c>
      <c r="L49" s="68">
        <f t="shared" si="2"/>
        <v>0</v>
      </c>
      <c r="M49" s="68">
        <f t="shared" si="3"/>
        <v>1</v>
      </c>
    </row>
    <row r="50" spans="1:13" x14ac:dyDescent="0.3">
      <c r="A50" s="4">
        <v>2</v>
      </c>
      <c r="B50" s="2">
        <v>49</v>
      </c>
      <c r="C50" s="36">
        <v>2</v>
      </c>
      <c r="D50" s="36" t="s">
        <v>80</v>
      </c>
      <c r="E50" s="42" t="s">
        <v>40</v>
      </c>
      <c r="F50" s="15" t="s">
        <v>9</v>
      </c>
      <c r="G50" s="15" t="s">
        <v>52</v>
      </c>
      <c r="H50" s="68"/>
      <c r="I50" s="68" t="s">
        <v>150</v>
      </c>
      <c r="J50" s="37">
        <f>IF(Table1214[[#This Row],[modality]]=D49,1,0)</f>
        <v>1</v>
      </c>
      <c r="K50" s="68">
        <f>IF(Table1214[[#This Row],[stimulus]]=G51, 1, 0)</f>
        <v>0</v>
      </c>
      <c r="L50" s="68">
        <f t="shared" si="2"/>
        <v>0</v>
      </c>
      <c r="M50" s="68">
        <f t="shared" si="3"/>
        <v>0</v>
      </c>
    </row>
    <row r="51" spans="1:13" x14ac:dyDescent="0.3">
      <c r="A51" s="79">
        <v>2</v>
      </c>
      <c r="B51" s="2">
        <v>50</v>
      </c>
      <c r="C51" s="55">
        <v>1</v>
      </c>
      <c r="D51" s="55" t="s">
        <v>81</v>
      </c>
      <c r="E51" s="56" t="s">
        <v>29</v>
      </c>
      <c r="F51" s="54" t="s">
        <v>42</v>
      </c>
      <c r="G51" s="54"/>
      <c r="H51" s="78" t="s">
        <v>127</v>
      </c>
      <c r="I51" s="68"/>
      <c r="J51" s="37">
        <f>IF(Table1214[[#This Row],[modality]]=D50,1,0)</f>
        <v>0</v>
      </c>
      <c r="K51" s="68">
        <f>IF(Table1214[[#This Row],[stimulus]]=G53, 1, 0)</f>
        <v>0</v>
      </c>
      <c r="L51" s="68">
        <f t="shared" si="2"/>
        <v>1</v>
      </c>
      <c r="M51" s="68">
        <f t="shared" si="3"/>
        <v>0</v>
      </c>
    </row>
    <row r="52" spans="1:13" x14ac:dyDescent="0.3">
      <c r="A52" s="4">
        <v>2</v>
      </c>
      <c r="B52" s="2">
        <v>51</v>
      </c>
      <c r="C52" s="81">
        <v>1</v>
      </c>
      <c r="D52" s="81" t="s">
        <v>81</v>
      </c>
      <c r="E52" s="81" t="s">
        <v>29</v>
      </c>
      <c r="F52" s="82" t="s">
        <v>42</v>
      </c>
      <c r="G52" s="82" t="s">
        <v>47</v>
      </c>
      <c r="H52" s="68"/>
      <c r="I52" s="68" t="s">
        <v>151</v>
      </c>
      <c r="J52" s="37">
        <f>IF(Table1214[[#This Row],[modality]]=D44,1,0)</f>
        <v>1</v>
      </c>
      <c r="K52" s="68">
        <f>IF(Table1214[[#This Row],[stimulus]]=G45, 1, 0)</f>
        <v>1</v>
      </c>
      <c r="L52" s="68">
        <f>IF(E44="T",1,0)</f>
        <v>0</v>
      </c>
      <c r="M52" s="68">
        <f>IF(E44="F",1,0)</f>
        <v>1</v>
      </c>
    </row>
    <row r="53" spans="1:13" x14ac:dyDescent="0.3">
      <c r="A53" s="4">
        <v>2</v>
      </c>
      <c r="B53" s="2">
        <v>52</v>
      </c>
      <c r="C53" s="39">
        <v>2</v>
      </c>
      <c r="D53" s="39" t="s">
        <v>80</v>
      </c>
      <c r="E53" s="39" t="s">
        <v>29</v>
      </c>
      <c r="F53" s="15" t="s">
        <v>42</v>
      </c>
      <c r="G53" s="15" t="s">
        <v>50</v>
      </c>
      <c r="H53" s="68"/>
      <c r="I53" s="68" t="s">
        <v>151</v>
      </c>
      <c r="J53" s="37">
        <f>IF(Table1214[[#This Row],[modality]]=D51,1,0)</f>
        <v>0</v>
      </c>
      <c r="K53" s="68">
        <f>IF(Table1214[[#This Row],[stimulus]]=G54, 1, 0)</f>
        <v>0</v>
      </c>
      <c r="L53" s="68">
        <f>IF(E51="T",1,0)</f>
        <v>0</v>
      </c>
      <c r="M53" s="68">
        <f>IF(E51="F",1,0)</f>
        <v>1</v>
      </c>
    </row>
    <row r="54" spans="1:13" x14ac:dyDescent="0.3">
      <c r="A54" s="4">
        <v>2</v>
      </c>
      <c r="B54" s="2">
        <v>53</v>
      </c>
      <c r="C54" s="66">
        <v>2</v>
      </c>
      <c r="D54" s="66" t="s">
        <v>80</v>
      </c>
      <c r="E54" s="69" t="s">
        <v>0</v>
      </c>
      <c r="F54" s="27" t="s">
        <v>41</v>
      </c>
      <c r="G54" s="27" t="s">
        <v>51</v>
      </c>
      <c r="H54" s="68"/>
      <c r="I54" s="68" t="s">
        <v>151</v>
      </c>
      <c r="J54" s="37">
        <f>IF(Table1214[[#This Row],[modality]]=D53,1,0)</f>
        <v>1</v>
      </c>
      <c r="K54" s="68">
        <f>IF(Table1214[[#This Row],[stimulus]]=G55, 1, 0)</f>
        <v>1</v>
      </c>
      <c r="L54" s="68">
        <f t="shared" ref="L54:L73" si="4">IF(E53="T",1,0)</f>
        <v>0</v>
      </c>
      <c r="M54" s="68">
        <f t="shared" ref="M54:M73" si="5">IF(E53="F",1,0)</f>
        <v>1</v>
      </c>
    </row>
    <row r="55" spans="1:13" x14ac:dyDescent="0.3">
      <c r="A55" s="4">
        <v>2</v>
      </c>
      <c r="B55" s="2">
        <v>54</v>
      </c>
      <c r="C55" s="36">
        <v>1</v>
      </c>
      <c r="D55" s="36" t="s">
        <v>81</v>
      </c>
      <c r="E55" s="42" t="s">
        <v>40</v>
      </c>
      <c r="F55" s="15" t="s">
        <v>10</v>
      </c>
      <c r="G55" s="15" t="s">
        <v>51</v>
      </c>
      <c r="H55" s="68"/>
      <c r="I55" s="68" t="s">
        <v>150</v>
      </c>
      <c r="J55" s="37">
        <f>IF(Table1214[[#This Row],[modality]]=D54,1,0)</f>
        <v>0</v>
      </c>
      <c r="K55" s="68">
        <f>IF(Table1214[[#This Row],[stimulus]]=G56, 1, 0)</f>
        <v>0</v>
      </c>
      <c r="L55" s="68">
        <f t="shared" si="4"/>
        <v>0</v>
      </c>
      <c r="M55" s="68">
        <f t="shared" si="5"/>
        <v>0</v>
      </c>
    </row>
    <row r="56" spans="1:13" x14ac:dyDescent="0.3">
      <c r="A56" s="7">
        <v>3</v>
      </c>
      <c r="B56" s="2">
        <v>55</v>
      </c>
      <c r="C56" s="36">
        <v>1</v>
      </c>
      <c r="D56" s="36" t="s">
        <v>81</v>
      </c>
      <c r="E56" s="42" t="s">
        <v>0</v>
      </c>
      <c r="F56" s="15" t="s">
        <v>41</v>
      </c>
      <c r="G56" s="15" t="s">
        <v>59</v>
      </c>
      <c r="H56" s="68"/>
      <c r="I56" s="68" t="s">
        <v>151</v>
      </c>
      <c r="J56" s="37">
        <f>IF(Table1214[[#This Row],[modality]]=D55,1,0)</f>
        <v>1</v>
      </c>
      <c r="K56" s="68">
        <f>IF(Table1214[[#This Row],[stimulus]]=G57, 1, 0)</f>
        <v>1</v>
      </c>
      <c r="L56" s="68">
        <f t="shared" si="4"/>
        <v>1</v>
      </c>
      <c r="M56" s="68">
        <f t="shared" si="5"/>
        <v>0</v>
      </c>
    </row>
    <row r="57" spans="1:13" x14ac:dyDescent="0.3">
      <c r="A57" s="7">
        <v>3</v>
      </c>
      <c r="B57" s="2">
        <v>56</v>
      </c>
      <c r="C57" s="37">
        <v>2</v>
      </c>
      <c r="D57" s="37" t="s">
        <v>80</v>
      </c>
      <c r="E57" s="43" t="s">
        <v>40</v>
      </c>
      <c r="F57" s="4" t="s">
        <v>10</v>
      </c>
      <c r="G57" s="4" t="s">
        <v>59</v>
      </c>
      <c r="H57" s="68"/>
      <c r="I57" s="68" t="s">
        <v>150</v>
      </c>
      <c r="J57" s="37">
        <f>IF(Table1214[[#This Row],[modality]]=D56,1,0)</f>
        <v>0</v>
      </c>
      <c r="K57" s="68">
        <f>IF(Table1214[[#This Row],[stimulus]]=G58, 1, 0)</f>
        <v>0</v>
      </c>
      <c r="L57" s="68">
        <f t="shared" si="4"/>
        <v>0</v>
      </c>
      <c r="M57" s="68">
        <f t="shared" si="5"/>
        <v>0</v>
      </c>
    </row>
    <row r="58" spans="1:13" x14ac:dyDescent="0.3">
      <c r="A58" s="4">
        <v>3</v>
      </c>
      <c r="B58" s="2">
        <v>57</v>
      </c>
      <c r="C58" s="57">
        <v>2</v>
      </c>
      <c r="D58" s="57" t="s">
        <v>80</v>
      </c>
      <c r="E58" s="58" t="s">
        <v>29</v>
      </c>
      <c r="F58" s="59" t="s">
        <v>42</v>
      </c>
      <c r="G58" s="59"/>
      <c r="H58" s="78" t="s">
        <v>127</v>
      </c>
      <c r="I58" s="78"/>
      <c r="J58" s="37">
        <f>IF(Table1214[[#This Row],[modality]]=D57,1,0)</f>
        <v>1</v>
      </c>
      <c r="K58" s="68">
        <f>IF(Table1214[[#This Row],[stimulus]]=G59, 1, 0)</f>
        <v>0</v>
      </c>
      <c r="L58" s="68">
        <f t="shared" si="4"/>
        <v>1</v>
      </c>
      <c r="M58" s="68">
        <f t="shared" si="5"/>
        <v>0</v>
      </c>
    </row>
    <row r="59" spans="1:13" x14ac:dyDescent="0.3">
      <c r="A59" s="7">
        <v>3</v>
      </c>
      <c r="B59" s="2">
        <v>58</v>
      </c>
      <c r="C59" s="36">
        <v>2</v>
      </c>
      <c r="D59" s="36" t="s">
        <v>80</v>
      </c>
      <c r="E59" s="42" t="s">
        <v>0</v>
      </c>
      <c r="F59" s="15" t="s">
        <v>41</v>
      </c>
      <c r="G59" s="15" t="s">
        <v>60</v>
      </c>
      <c r="H59" s="68"/>
      <c r="I59" s="68" t="s">
        <v>151</v>
      </c>
      <c r="J59" s="37">
        <f>IF(Table1214[[#This Row],[modality]]=D58,1,0)</f>
        <v>1</v>
      </c>
      <c r="K59" s="68">
        <f>IF(Table1214[[#This Row],[stimulus]]=G60, 1, 0)</f>
        <v>1</v>
      </c>
      <c r="L59" s="68">
        <f t="shared" si="4"/>
        <v>0</v>
      </c>
      <c r="M59" s="68">
        <f t="shared" si="5"/>
        <v>1</v>
      </c>
    </row>
    <row r="60" spans="1:13" x14ac:dyDescent="0.3">
      <c r="A60" s="7">
        <v>3</v>
      </c>
      <c r="B60" s="2">
        <v>59</v>
      </c>
      <c r="C60" s="66">
        <v>1</v>
      </c>
      <c r="D60" s="66" t="s">
        <v>81</v>
      </c>
      <c r="E60" s="69" t="s">
        <v>40</v>
      </c>
      <c r="F60" s="27" t="s">
        <v>10</v>
      </c>
      <c r="G60" s="27" t="s">
        <v>60</v>
      </c>
      <c r="H60" s="68"/>
      <c r="I60" s="68" t="s">
        <v>150</v>
      </c>
      <c r="J60" s="37">
        <f>IF(Table1214[[#This Row],[modality]]=D59,1,0)</f>
        <v>0</v>
      </c>
      <c r="K60" s="68">
        <f>IF(Table1214[[#This Row],[stimulus]]=G61, 1, 0)</f>
        <v>0</v>
      </c>
      <c r="L60" s="68">
        <f t="shared" si="4"/>
        <v>0</v>
      </c>
      <c r="M60" s="68">
        <f t="shared" si="5"/>
        <v>0</v>
      </c>
    </row>
    <row r="61" spans="1:13" x14ac:dyDescent="0.3">
      <c r="A61" s="7">
        <v>3</v>
      </c>
      <c r="B61" s="2">
        <v>60</v>
      </c>
      <c r="C61" s="40">
        <v>1</v>
      </c>
      <c r="D61" s="40" t="s">
        <v>81</v>
      </c>
      <c r="E61" s="40" t="s">
        <v>29</v>
      </c>
      <c r="F61" s="15" t="s">
        <v>42</v>
      </c>
      <c r="G61" s="15" t="s">
        <v>58</v>
      </c>
      <c r="H61" s="68"/>
      <c r="I61" s="68"/>
      <c r="J61" s="37">
        <f>IF(Table1214[[#This Row],[modality]]=D60,1,0)</f>
        <v>1</v>
      </c>
      <c r="K61" s="68">
        <f>IF(Table1214[[#This Row],[stimulus]]=G62, 1, 0)</f>
        <v>0</v>
      </c>
      <c r="L61" s="68">
        <f t="shared" si="4"/>
        <v>1</v>
      </c>
      <c r="M61" s="68">
        <f t="shared" si="5"/>
        <v>0</v>
      </c>
    </row>
    <row r="62" spans="1:13" x14ac:dyDescent="0.3">
      <c r="A62" s="7">
        <v>3</v>
      </c>
      <c r="B62" s="2">
        <v>61</v>
      </c>
      <c r="C62" s="66">
        <v>1</v>
      </c>
      <c r="D62" s="66" t="s">
        <v>81</v>
      </c>
      <c r="E62" s="69" t="s">
        <v>0</v>
      </c>
      <c r="F62" s="27" t="s">
        <v>41</v>
      </c>
      <c r="G62" s="27" t="s">
        <v>61</v>
      </c>
      <c r="H62" s="68"/>
      <c r="I62" s="68" t="s">
        <v>151</v>
      </c>
      <c r="J62" s="37">
        <f>IF(Table1214[[#This Row],[modality]]=D61,1,0)</f>
        <v>1</v>
      </c>
      <c r="K62" s="68">
        <f>IF(Table1214[[#This Row],[stimulus]]=G63, 1, 0)</f>
        <v>1</v>
      </c>
      <c r="L62" s="68">
        <f t="shared" si="4"/>
        <v>0</v>
      </c>
      <c r="M62" s="68">
        <f t="shared" si="5"/>
        <v>1</v>
      </c>
    </row>
    <row r="63" spans="1:13" x14ac:dyDescent="0.3">
      <c r="A63" s="7">
        <v>3</v>
      </c>
      <c r="B63" s="2">
        <v>62</v>
      </c>
      <c r="C63" s="36">
        <v>2</v>
      </c>
      <c r="D63" s="36" t="s">
        <v>80</v>
      </c>
      <c r="E63" s="42" t="s">
        <v>40</v>
      </c>
      <c r="F63" s="15" t="s">
        <v>10</v>
      </c>
      <c r="G63" s="15" t="s">
        <v>61</v>
      </c>
      <c r="H63" s="68"/>
      <c r="I63" s="68" t="s">
        <v>150</v>
      </c>
      <c r="J63" s="37">
        <f>IF(Table1214[[#This Row],[modality]]=D62,1,0)</f>
        <v>0</v>
      </c>
      <c r="K63" s="68">
        <f>IF(Table1214[[#This Row],[stimulus]]=G64, 1, 0)</f>
        <v>0</v>
      </c>
      <c r="L63" s="68">
        <f t="shared" si="4"/>
        <v>0</v>
      </c>
      <c r="M63" s="68">
        <f t="shared" si="5"/>
        <v>0</v>
      </c>
    </row>
    <row r="64" spans="1:13" x14ac:dyDescent="0.3">
      <c r="A64" s="7">
        <v>3</v>
      </c>
      <c r="B64" s="2">
        <v>63</v>
      </c>
      <c r="C64" s="40">
        <v>2</v>
      </c>
      <c r="D64" s="40" t="s">
        <v>80</v>
      </c>
      <c r="E64" s="40" t="s">
        <v>29</v>
      </c>
      <c r="F64" s="27" t="s">
        <v>42</v>
      </c>
      <c r="G64" s="27" t="s">
        <v>57</v>
      </c>
      <c r="H64" s="68"/>
      <c r="I64" s="68"/>
      <c r="J64" s="37">
        <f>IF(Table1214[[#This Row],[modality]]=D63,1,0)</f>
        <v>1</v>
      </c>
      <c r="K64" s="68">
        <f>IF(Table1214[[#This Row],[stimulus]]=G65, 1, 0)</f>
        <v>0</v>
      </c>
      <c r="L64" s="68">
        <f t="shared" si="4"/>
        <v>1</v>
      </c>
      <c r="M64" s="68">
        <f t="shared" si="5"/>
        <v>0</v>
      </c>
    </row>
    <row r="65" spans="1:13" x14ac:dyDescent="0.3">
      <c r="A65" s="7">
        <v>3</v>
      </c>
      <c r="B65" s="2">
        <v>64</v>
      </c>
      <c r="C65" s="40">
        <v>1</v>
      </c>
      <c r="D65" s="40" t="s">
        <v>81</v>
      </c>
      <c r="E65" s="40" t="s">
        <v>29</v>
      </c>
      <c r="F65" s="4" t="s">
        <v>42</v>
      </c>
      <c r="G65" s="4" t="s">
        <v>55</v>
      </c>
      <c r="H65" s="68"/>
      <c r="I65" s="68" t="s">
        <v>151</v>
      </c>
      <c r="J65" s="37">
        <f>IF(Table1214[[#This Row],[modality]]=D64,1,0)</f>
        <v>0</v>
      </c>
      <c r="K65" s="68">
        <f>IF(Table1214[[#This Row],[stimulus]]=G66, 1, 0)</f>
        <v>0</v>
      </c>
      <c r="L65" s="68">
        <f t="shared" si="4"/>
        <v>0</v>
      </c>
      <c r="M65" s="68">
        <f t="shared" si="5"/>
        <v>1</v>
      </c>
    </row>
    <row r="66" spans="1:13" x14ac:dyDescent="0.3">
      <c r="A66" s="7">
        <v>3</v>
      </c>
      <c r="B66" s="2">
        <v>65</v>
      </c>
      <c r="C66" s="36">
        <v>2</v>
      </c>
      <c r="D66" s="36" t="s">
        <v>80</v>
      </c>
      <c r="E66" s="42" t="s">
        <v>0</v>
      </c>
      <c r="F66" s="15" t="s">
        <v>41</v>
      </c>
      <c r="G66" s="15" t="s">
        <v>62</v>
      </c>
      <c r="H66" s="68"/>
      <c r="I66" s="68" t="s">
        <v>151</v>
      </c>
      <c r="J66" s="37">
        <f>IF(Table1214[[#This Row],[modality]]=D65,1,0)</f>
        <v>0</v>
      </c>
      <c r="K66" s="68">
        <f>IF(Table1214[[#This Row],[stimulus]]=G67, 1, 0)</f>
        <v>1</v>
      </c>
      <c r="L66" s="68">
        <f t="shared" si="4"/>
        <v>0</v>
      </c>
      <c r="M66" s="68">
        <f t="shared" si="5"/>
        <v>1</v>
      </c>
    </row>
    <row r="67" spans="1:13" x14ac:dyDescent="0.3">
      <c r="A67" s="7">
        <v>3</v>
      </c>
      <c r="B67" s="2">
        <v>66</v>
      </c>
      <c r="C67" s="37">
        <v>2</v>
      </c>
      <c r="D67" s="37" t="s">
        <v>80</v>
      </c>
      <c r="E67" s="43" t="s">
        <v>40</v>
      </c>
      <c r="F67" s="4" t="s">
        <v>9</v>
      </c>
      <c r="G67" s="4" t="s">
        <v>62</v>
      </c>
      <c r="H67" s="68"/>
      <c r="I67" s="68" t="s">
        <v>150</v>
      </c>
      <c r="J67" s="37">
        <f>IF(Table1214[[#This Row],[modality]]=D66,1,0)</f>
        <v>1</v>
      </c>
      <c r="K67" s="68">
        <f>IF(Table1214[[#This Row],[stimulus]]=G68, 1, 0)</f>
        <v>0</v>
      </c>
      <c r="L67" s="68">
        <f t="shared" si="4"/>
        <v>0</v>
      </c>
      <c r="M67" s="68">
        <f t="shared" si="5"/>
        <v>0</v>
      </c>
    </row>
    <row r="68" spans="1:13" x14ac:dyDescent="0.3">
      <c r="A68" s="7">
        <v>3</v>
      </c>
      <c r="B68" s="2">
        <v>67</v>
      </c>
      <c r="C68" s="40">
        <v>1</v>
      </c>
      <c r="D68" s="40" t="s">
        <v>81</v>
      </c>
      <c r="E68" s="40" t="s">
        <v>29</v>
      </c>
      <c r="F68" s="15" t="s">
        <v>42</v>
      </c>
      <c r="G68" s="15" t="s">
        <v>56</v>
      </c>
      <c r="H68" s="68"/>
      <c r="I68" s="68"/>
      <c r="J68" s="37">
        <f>IF(Table1214[[#This Row],[modality]]=D67,1,0)</f>
        <v>0</v>
      </c>
      <c r="K68" s="68">
        <f>IF(Table1214[[#This Row],[stimulus]]=G69, 1, 0)</f>
        <v>0</v>
      </c>
      <c r="L68" s="68">
        <f t="shared" si="4"/>
        <v>1</v>
      </c>
      <c r="M68" s="68">
        <f t="shared" si="5"/>
        <v>0</v>
      </c>
    </row>
    <row r="69" spans="1:13" x14ac:dyDescent="0.3">
      <c r="A69" s="7">
        <v>3</v>
      </c>
      <c r="B69" s="2">
        <v>68</v>
      </c>
      <c r="C69" s="40">
        <v>2</v>
      </c>
      <c r="D69" s="40" t="s">
        <v>80</v>
      </c>
      <c r="E69" s="40" t="s">
        <v>29</v>
      </c>
      <c r="F69" s="15" t="s">
        <v>42</v>
      </c>
      <c r="G69" s="15" t="s">
        <v>54</v>
      </c>
      <c r="H69" s="68"/>
      <c r="I69" s="68" t="s">
        <v>151</v>
      </c>
      <c r="J69" s="37">
        <f>IF(Table1214[[#This Row],[modality]]=D68,1,0)</f>
        <v>0</v>
      </c>
      <c r="K69" s="68">
        <f>IF(Table1214[[#This Row],[stimulus]]=G70, 1, 0)</f>
        <v>0</v>
      </c>
      <c r="L69" s="68">
        <f t="shared" si="4"/>
        <v>0</v>
      </c>
      <c r="M69" s="68">
        <f t="shared" si="5"/>
        <v>1</v>
      </c>
    </row>
    <row r="70" spans="1:13" x14ac:dyDescent="0.3">
      <c r="A70" s="7">
        <v>3</v>
      </c>
      <c r="B70" s="2">
        <v>69</v>
      </c>
      <c r="C70" s="66">
        <v>2</v>
      </c>
      <c r="D70" s="66" t="s">
        <v>80</v>
      </c>
      <c r="E70" s="69" t="s">
        <v>0</v>
      </c>
      <c r="F70" s="27" t="s">
        <v>41</v>
      </c>
      <c r="G70" s="27" t="s">
        <v>63</v>
      </c>
      <c r="H70" s="68"/>
      <c r="I70" s="68" t="s">
        <v>151</v>
      </c>
      <c r="J70" s="37">
        <f>IF(Table1214[[#This Row],[modality]]=D69,1,0)</f>
        <v>1</v>
      </c>
      <c r="K70" s="68">
        <f>IF(Table1214[[#This Row],[stimulus]]=G71, 1, 0)</f>
        <v>1</v>
      </c>
      <c r="L70" s="68">
        <f t="shared" si="4"/>
        <v>0</v>
      </c>
      <c r="M70" s="68">
        <f t="shared" si="5"/>
        <v>1</v>
      </c>
    </row>
    <row r="71" spans="1:13" x14ac:dyDescent="0.3">
      <c r="A71" s="7">
        <v>3</v>
      </c>
      <c r="B71" s="2">
        <v>70</v>
      </c>
      <c r="C71" s="36">
        <v>2</v>
      </c>
      <c r="D71" s="36" t="s">
        <v>80</v>
      </c>
      <c r="E71" s="42" t="s">
        <v>40</v>
      </c>
      <c r="F71" s="15" t="s">
        <v>9</v>
      </c>
      <c r="G71" s="15" t="s">
        <v>63</v>
      </c>
      <c r="H71" s="68"/>
      <c r="I71" s="68" t="s">
        <v>150</v>
      </c>
      <c r="J71" s="37">
        <f>IF(Table1214[[#This Row],[modality]]=D70,1,0)</f>
        <v>1</v>
      </c>
      <c r="K71" s="68">
        <f>IF(Table1214[[#This Row],[stimulus]]=G72, 1, 0)</f>
        <v>0</v>
      </c>
      <c r="L71" s="68">
        <f t="shared" si="4"/>
        <v>0</v>
      </c>
      <c r="M71" s="68">
        <f t="shared" si="5"/>
        <v>0</v>
      </c>
    </row>
    <row r="72" spans="1:13" x14ac:dyDescent="0.3">
      <c r="A72" s="4">
        <v>3</v>
      </c>
      <c r="B72" s="2">
        <v>71</v>
      </c>
      <c r="C72" s="55">
        <v>1</v>
      </c>
      <c r="D72" s="55" t="s">
        <v>81</v>
      </c>
      <c r="E72" s="56" t="s">
        <v>29</v>
      </c>
      <c r="F72" s="60" t="s">
        <v>42</v>
      </c>
      <c r="G72" s="60"/>
      <c r="H72" s="78" t="s">
        <v>127</v>
      </c>
      <c r="I72" s="78"/>
      <c r="J72" s="37">
        <f>IF(Table1214[[#This Row],[modality]]=D71,1,0)</f>
        <v>0</v>
      </c>
      <c r="K72" s="68">
        <f>IF(Table1214[[#This Row],[stimulus]]=G74, 1, 0)</f>
        <v>0</v>
      </c>
      <c r="L72" s="68">
        <f t="shared" si="4"/>
        <v>1</v>
      </c>
      <c r="M72" s="68">
        <f t="shared" si="5"/>
        <v>0</v>
      </c>
    </row>
    <row r="73" spans="1:13" x14ac:dyDescent="0.3">
      <c r="A73" s="4">
        <v>3</v>
      </c>
      <c r="B73" s="2">
        <v>72</v>
      </c>
      <c r="C73" s="86">
        <v>1</v>
      </c>
      <c r="D73" s="86" t="s">
        <v>81</v>
      </c>
      <c r="E73" s="87" t="s">
        <v>29</v>
      </c>
      <c r="F73" s="82" t="s">
        <v>42</v>
      </c>
      <c r="G73" s="82" t="s">
        <v>57</v>
      </c>
      <c r="H73" s="68"/>
      <c r="I73" s="68" t="s">
        <v>151</v>
      </c>
      <c r="J73" s="37">
        <f>IF(Table1214[[#This Row],[modality]]=D72,1,0)</f>
        <v>1</v>
      </c>
      <c r="K73" s="68">
        <f>IF(Table1214[[#This Row],[stimulus]]=G74, 1, 0)</f>
        <v>0</v>
      </c>
      <c r="L73" s="68">
        <f t="shared" si="4"/>
        <v>0</v>
      </c>
      <c r="M73" s="68">
        <f t="shared" si="5"/>
        <v>1</v>
      </c>
    </row>
    <row r="74" spans="1:13" x14ac:dyDescent="0.3">
      <c r="A74" s="7">
        <v>3</v>
      </c>
      <c r="B74" s="2">
        <v>73</v>
      </c>
      <c r="C74" s="37">
        <v>2</v>
      </c>
      <c r="D74" s="37" t="s">
        <v>80</v>
      </c>
      <c r="E74" s="43" t="s">
        <v>0</v>
      </c>
      <c r="F74" s="4" t="s">
        <v>41</v>
      </c>
      <c r="G74" s="4" t="s">
        <v>64</v>
      </c>
      <c r="H74" s="68"/>
      <c r="I74" s="68" t="s">
        <v>151</v>
      </c>
      <c r="J74" s="37">
        <f>IF(Table1214[[#This Row],[modality]]=D72,1,0)</f>
        <v>0</v>
      </c>
      <c r="K74" s="68">
        <f>IF(Table1214[[#This Row],[stimulus]]=G75, 1, 0)</f>
        <v>1</v>
      </c>
      <c r="L74" s="68">
        <f>IF(E72="T",1,0)</f>
        <v>0</v>
      </c>
      <c r="M74" s="68">
        <f>IF(E72="F",1,0)</f>
        <v>1</v>
      </c>
    </row>
    <row r="75" spans="1:13" x14ac:dyDescent="0.3">
      <c r="A75" s="7">
        <v>3</v>
      </c>
      <c r="B75" s="2">
        <v>74</v>
      </c>
      <c r="C75" s="36">
        <v>1</v>
      </c>
      <c r="D75" s="36" t="s">
        <v>81</v>
      </c>
      <c r="E75" s="42" t="s">
        <v>40</v>
      </c>
      <c r="F75" s="15" t="s">
        <v>10</v>
      </c>
      <c r="G75" s="15" t="s">
        <v>64</v>
      </c>
      <c r="H75" s="68"/>
      <c r="I75" s="68" t="s">
        <v>150</v>
      </c>
      <c r="J75" s="37">
        <f>IF(Table1214[[#This Row],[modality]]=D74,1,0)</f>
        <v>0</v>
      </c>
      <c r="K75" s="68">
        <f>IF(Table1214[[#This Row],[stimulus]]=G76, 1, 0)</f>
        <v>0</v>
      </c>
      <c r="L75" s="68">
        <f t="shared" ref="L75:L95" si="6">IF(E74="T",1,0)</f>
        <v>0</v>
      </c>
      <c r="M75" s="68">
        <f t="shared" ref="M75:M95" si="7">IF(E74="F",1,0)</f>
        <v>0</v>
      </c>
    </row>
    <row r="76" spans="1:13" x14ac:dyDescent="0.3">
      <c r="A76" s="7">
        <v>3</v>
      </c>
      <c r="B76" s="2">
        <v>75</v>
      </c>
      <c r="C76" s="40">
        <v>2</v>
      </c>
      <c r="D76" s="40" t="s">
        <v>80</v>
      </c>
      <c r="E76" s="40" t="s">
        <v>29</v>
      </c>
      <c r="F76" s="4" t="s">
        <v>42</v>
      </c>
      <c r="G76" s="4" t="s">
        <v>53</v>
      </c>
      <c r="H76" s="68"/>
      <c r="I76" s="68"/>
      <c r="J76" s="37">
        <f>IF(Table1214[[#This Row],[modality]]=D75,1,0)</f>
        <v>0</v>
      </c>
      <c r="K76" s="68">
        <f>IF(Table1214[[#This Row],[stimulus]]=G77, 1, 0)</f>
        <v>0</v>
      </c>
      <c r="L76" s="68">
        <f t="shared" si="6"/>
        <v>1</v>
      </c>
      <c r="M76" s="68">
        <f t="shared" si="7"/>
        <v>0</v>
      </c>
    </row>
    <row r="77" spans="1:13" x14ac:dyDescent="0.3">
      <c r="A77" s="7">
        <v>3</v>
      </c>
      <c r="B77" s="2">
        <v>76</v>
      </c>
      <c r="C77" s="36">
        <v>1</v>
      </c>
      <c r="D77" s="36" t="s">
        <v>81</v>
      </c>
      <c r="E77" s="42" t="s">
        <v>0</v>
      </c>
      <c r="F77" s="15" t="s">
        <v>41</v>
      </c>
      <c r="G77" s="15" t="s">
        <v>65</v>
      </c>
      <c r="H77" s="68"/>
      <c r="I77" s="68" t="s">
        <v>151</v>
      </c>
      <c r="J77" s="37">
        <f>IF(Table1214[[#This Row],[modality]]=D76,1,0)</f>
        <v>0</v>
      </c>
      <c r="K77" s="68">
        <f>IF(Table1214[[#This Row],[stimulus]]=G78, 1, 0)</f>
        <v>1</v>
      </c>
      <c r="L77" s="68">
        <f t="shared" si="6"/>
        <v>0</v>
      </c>
      <c r="M77" s="68">
        <f t="shared" si="7"/>
        <v>1</v>
      </c>
    </row>
    <row r="78" spans="1:13" x14ac:dyDescent="0.3">
      <c r="A78" s="7">
        <v>3</v>
      </c>
      <c r="B78" s="2">
        <v>77</v>
      </c>
      <c r="C78" s="37">
        <v>1</v>
      </c>
      <c r="D78" s="37" t="s">
        <v>81</v>
      </c>
      <c r="E78" s="43" t="s">
        <v>40</v>
      </c>
      <c r="F78" s="4" t="s">
        <v>9</v>
      </c>
      <c r="G78" s="4" t="s">
        <v>65</v>
      </c>
      <c r="H78" s="68"/>
      <c r="I78" s="68" t="s">
        <v>150</v>
      </c>
      <c r="J78" s="37">
        <f>IF(Table1214[[#This Row],[modality]]=D77,1,0)</f>
        <v>1</v>
      </c>
      <c r="K78" s="68">
        <f>IF(Table1214[[#This Row],[stimulus]]=G79, 1, 0)</f>
        <v>0</v>
      </c>
      <c r="L78" s="68">
        <f t="shared" si="6"/>
        <v>0</v>
      </c>
      <c r="M78" s="68">
        <f t="shared" si="7"/>
        <v>0</v>
      </c>
    </row>
    <row r="79" spans="1:13" x14ac:dyDescent="0.3">
      <c r="A79" s="7">
        <v>3</v>
      </c>
      <c r="B79" s="2">
        <v>78</v>
      </c>
      <c r="C79" s="40">
        <v>2</v>
      </c>
      <c r="D79" s="40" t="s">
        <v>80</v>
      </c>
      <c r="E79" s="40" t="s">
        <v>29</v>
      </c>
      <c r="F79" s="15" t="s">
        <v>42</v>
      </c>
      <c r="G79" s="15" t="s">
        <v>52</v>
      </c>
      <c r="H79" s="68"/>
      <c r="I79" s="68"/>
      <c r="J79" s="37">
        <f>IF(Table1214[[#This Row],[modality]]=D78,1,0)</f>
        <v>0</v>
      </c>
      <c r="K79" s="68">
        <f>IF(Table1214[[#This Row],[stimulus]]=G80, 1, 0)</f>
        <v>0</v>
      </c>
      <c r="L79" s="68">
        <f t="shared" si="6"/>
        <v>1</v>
      </c>
      <c r="M79" s="68">
        <f t="shared" si="7"/>
        <v>0</v>
      </c>
    </row>
    <row r="80" spans="1:13" x14ac:dyDescent="0.3">
      <c r="A80" s="7">
        <v>3</v>
      </c>
      <c r="B80" s="2">
        <v>79</v>
      </c>
      <c r="C80" s="40">
        <v>1</v>
      </c>
      <c r="D80" s="40" t="s">
        <v>81</v>
      </c>
      <c r="E80" s="40" t="s">
        <v>29</v>
      </c>
      <c r="F80" s="4" t="s">
        <v>42</v>
      </c>
      <c r="G80" s="4" t="s">
        <v>51</v>
      </c>
      <c r="H80" s="68"/>
      <c r="I80" s="68"/>
      <c r="J80" s="37">
        <f>IF(Table1214[[#This Row],[modality]]=D79,1,0)</f>
        <v>0</v>
      </c>
      <c r="K80" s="68">
        <f>IF(Table1214[[#This Row],[stimulus]]=G81, 1, 0)</f>
        <v>0</v>
      </c>
      <c r="L80" s="68">
        <f t="shared" si="6"/>
        <v>0</v>
      </c>
      <c r="M80" s="68">
        <f t="shared" si="7"/>
        <v>1</v>
      </c>
    </row>
    <row r="81" spans="1:16" x14ac:dyDescent="0.3">
      <c r="A81" s="7">
        <v>3</v>
      </c>
      <c r="B81" s="2">
        <v>80</v>
      </c>
      <c r="C81" s="66">
        <v>1</v>
      </c>
      <c r="D81" s="66" t="s">
        <v>81</v>
      </c>
      <c r="E81" s="69" t="s">
        <v>0</v>
      </c>
      <c r="F81" s="27" t="s">
        <v>41</v>
      </c>
      <c r="G81" s="27" t="s">
        <v>66</v>
      </c>
      <c r="H81" s="68"/>
      <c r="I81" s="68" t="s">
        <v>151</v>
      </c>
      <c r="J81" s="37">
        <f>IF(Table1214[[#This Row],[modality]]=D80,1,0)</f>
        <v>1</v>
      </c>
      <c r="K81" s="68">
        <f>IF(Table1214[[#This Row],[stimulus]]=G82, 1, 0)</f>
        <v>1</v>
      </c>
      <c r="L81" s="68">
        <f t="shared" si="6"/>
        <v>0</v>
      </c>
      <c r="M81" s="68">
        <f t="shared" si="7"/>
        <v>1</v>
      </c>
    </row>
    <row r="82" spans="1:16" x14ac:dyDescent="0.3">
      <c r="A82" s="7">
        <v>3</v>
      </c>
      <c r="B82" s="2">
        <v>81</v>
      </c>
      <c r="C82" s="37">
        <v>1</v>
      </c>
      <c r="D82" s="37" t="s">
        <v>81</v>
      </c>
      <c r="E82" s="43" t="s">
        <v>40</v>
      </c>
      <c r="F82" s="4" t="s">
        <v>9</v>
      </c>
      <c r="G82" s="4" t="s">
        <v>66</v>
      </c>
      <c r="H82" s="68"/>
      <c r="I82" s="68" t="s">
        <v>150</v>
      </c>
      <c r="J82" s="37">
        <f>IF(Table1214[[#This Row],[modality]]=D81,1,0)</f>
        <v>1</v>
      </c>
      <c r="K82" s="68">
        <f>IF(Table1214[[#This Row],[stimulus]]=G83, 1, 0)</f>
        <v>0</v>
      </c>
      <c r="L82" s="68">
        <f t="shared" si="6"/>
        <v>0</v>
      </c>
      <c r="M82" s="68">
        <f t="shared" si="7"/>
        <v>0</v>
      </c>
    </row>
    <row r="83" spans="1:16" x14ac:dyDescent="0.3">
      <c r="A83" s="4">
        <v>4</v>
      </c>
      <c r="B83" s="2">
        <v>82</v>
      </c>
      <c r="C83" s="41">
        <v>2</v>
      </c>
      <c r="D83" s="41" t="s">
        <v>80</v>
      </c>
      <c r="E83" s="41" t="s">
        <v>29</v>
      </c>
      <c r="F83" s="27" t="s">
        <v>42</v>
      </c>
      <c r="G83" s="27" t="s">
        <v>59</v>
      </c>
      <c r="H83" s="68"/>
      <c r="I83" s="68"/>
      <c r="J83" s="37">
        <f>IF(Table1214[[#This Row],[modality]]=D82,1,0)</f>
        <v>0</v>
      </c>
      <c r="K83" s="68">
        <f>IF(Table1214[[#This Row],[stimulus]]=G84, 1, 0)</f>
        <v>0</v>
      </c>
      <c r="L83" s="68">
        <f t="shared" si="6"/>
        <v>1</v>
      </c>
      <c r="M83" s="68">
        <f t="shared" si="7"/>
        <v>0</v>
      </c>
    </row>
    <row r="84" spans="1:16" x14ac:dyDescent="0.3">
      <c r="A84" s="4">
        <v>4</v>
      </c>
      <c r="B84" s="2">
        <v>83</v>
      </c>
      <c r="C84" s="36">
        <v>1</v>
      </c>
      <c r="D84" s="36" t="s">
        <v>81</v>
      </c>
      <c r="E84" s="42" t="s">
        <v>0</v>
      </c>
      <c r="F84" s="15" t="s">
        <v>41</v>
      </c>
      <c r="G84" s="15" t="s">
        <v>74</v>
      </c>
      <c r="H84" s="68"/>
      <c r="I84" s="68" t="s">
        <v>151</v>
      </c>
      <c r="J84" s="37">
        <f>IF(Table1214[[#This Row],[modality]]=D83,1,0)</f>
        <v>0</v>
      </c>
      <c r="K84" s="68">
        <f>IF(Table1214[[#This Row],[stimulus]]=G85, 1, 0)</f>
        <v>1</v>
      </c>
      <c r="L84" s="68">
        <f t="shared" si="6"/>
        <v>0</v>
      </c>
      <c r="M84" s="68">
        <f t="shared" si="7"/>
        <v>1</v>
      </c>
    </row>
    <row r="85" spans="1:16" x14ac:dyDescent="0.3">
      <c r="A85" s="4">
        <v>4</v>
      </c>
      <c r="B85" s="2">
        <v>84</v>
      </c>
      <c r="C85" s="66">
        <v>1</v>
      </c>
      <c r="D85" s="66" t="s">
        <v>81</v>
      </c>
      <c r="E85" s="69" t="s">
        <v>40</v>
      </c>
      <c r="F85" s="27" t="s">
        <v>9</v>
      </c>
      <c r="G85" s="27" t="s">
        <v>74</v>
      </c>
      <c r="H85" s="68"/>
      <c r="I85" s="68" t="s">
        <v>150</v>
      </c>
      <c r="J85" s="37">
        <f>IF(Table1214[[#This Row],[modality]]=D84,1,0)</f>
        <v>1</v>
      </c>
      <c r="K85" s="68">
        <f>IF(Table1214[[#This Row],[stimulus]]=G86, 1, 0)</f>
        <v>0</v>
      </c>
      <c r="L85" s="68">
        <f t="shared" si="6"/>
        <v>0</v>
      </c>
      <c r="M85" s="68">
        <f t="shared" si="7"/>
        <v>0</v>
      </c>
    </row>
    <row r="86" spans="1:16" x14ac:dyDescent="0.3">
      <c r="A86" s="4">
        <v>4</v>
      </c>
      <c r="B86" s="2">
        <v>85</v>
      </c>
      <c r="C86" s="36">
        <v>1</v>
      </c>
      <c r="D86" s="36" t="s">
        <v>81</v>
      </c>
      <c r="E86" s="42" t="s">
        <v>0</v>
      </c>
      <c r="F86" s="15" t="s">
        <v>41</v>
      </c>
      <c r="G86" s="15" t="s">
        <v>73</v>
      </c>
      <c r="H86" s="68"/>
      <c r="I86" s="68" t="s">
        <v>151</v>
      </c>
      <c r="J86" s="37">
        <f>IF(Table1214[[#This Row],[modality]]=D85,1,0)</f>
        <v>1</v>
      </c>
      <c r="K86" s="68">
        <f>IF(Table1214[[#This Row],[stimulus]]=G87, 1, 0)</f>
        <v>1</v>
      </c>
      <c r="L86" s="68">
        <f t="shared" si="6"/>
        <v>1</v>
      </c>
      <c r="M86" s="68">
        <f t="shared" si="7"/>
        <v>0</v>
      </c>
    </row>
    <row r="87" spans="1:16" x14ac:dyDescent="0.3">
      <c r="A87" s="4">
        <v>4</v>
      </c>
      <c r="B87" s="2">
        <v>86</v>
      </c>
      <c r="C87" s="66">
        <v>2</v>
      </c>
      <c r="D87" s="66" t="s">
        <v>80</v>
      </c>
      <c r="E87" s="69" t="s">
        <v>40</v>
      </c>
      <c r="F87" s="27" t="s">
        <v>10</v>
      </c>
      <c r="G87" s="27" t="s">
        <v>73</v>
      </c>
      <c r="H87" s="68"/>
      <c r="I87" s="68" t="s">
        <v>150</v>
      </c>
      <c r="J87" s="37">
        <f>IF(Table1214[[#This Row],[modality]]=D86,1,0)</f>
        <v>0</v>
      </c>
      <c r="K87" s="68">
        <f>IF(Table1214[[#This Row],[stimulus]]=G88, 1, 0)</f>
        <v>0</v>
      </c>
      <c r="L87" s="68">
        <f t="shared" si="6"/>
        <v>0</v>
      </c>
      <c r="M87" s="68">
        <f t="shared" si="7"/>
        <v>0</v>
      </c>
    </row>
    <row r="88" spans="1:16" x14ac:dyDescent="0.3">
      <c r="A88" s="4">
        <v>4</v>
      </c>
      <c r="B88" s="2">
        <v>87</v>
      </c>
      <c r="C88" s="41">
        <v>2</v>
      </c>
      <c r="D88" s="41" t="s">
        <v>80</v>
      </c>
      <c r="E88" s="41" t="s">
        <v>29</v>
      </c>
      <c r="F88" s="4" t="s">
        <v>42</v>
      </c>
      <c r="G88" s="4" t="s">
        <v>61</v>
      </c>
      <c r="H88" s="68"/>
      <c r="I88" s="68"/>
      <c r="J88" s="37">
        <f>IF(Table1214[[#This Row],[modality]]=D87,1,0)</f>
        <v>1</v>
      </c>
      <c r="K88" s="68">
        <f>IF(Table1214[[#This Row],[stimulus]]=G89, 1, 0)</f>
        <v>0</v>
      </c>
      <c r="L88" s="68">
        <f t="shared" si="6"/>
        <v>1</v>
      </c>
      <c r="M88" s="68">
        <f t="shared" si="7"/>
        <v>0</v>
      </c>
    </row>
    <row r="89" spans="1:16" x14ac:dyDescent="0.3">
      <c r="A89" s="4">
        <v>4</v>
      </c>
      <c r="B89" s="2">
        <v>88</v>
      </c>
      <c r="C89" s="41">
        <v>1</v>
      </c>
      <c r="D89" s="41" t="s">
        <v>81</v>
      </c>
      <c r="E89" s="41" t="s">
        <v>29</v>
      </c>
      <c r="F89" s="15" t="s">
        <v>42</v>
      </c>
      <c r="G89" s="15" t="s">
        <v>60</v>
      </c>
      <c r="H89" s="68"/>
      <c r="I89" s="68" t="s">
        <v>151</v>
      </c>
      <c r="J89" s="37">
        <f>IF(Table1214[[#This Row],[modality]]=D88,1,0)</f>
        <v>0</v>
      </c>
      <c r="K89" s="68">
        <f>IF(Table1214[[#This Row],[stimulus]]=G90, 1, 0)</f>
        <v>0</v>
      </c>
      <c r="L89" s="68">
        <f t="shared" si="6"/>
        <v>0</v>
      </c>
      <c r="M89" s="68">
        <f t="shared" si="7"/>
        <v>1</v>
      </c>
    </row>
    <row r="90" spans="1:16" x14ac:dyDescent="0.3">
      <c r="A90" s="4">
        <v>4</v>
      </c>
      <c r="B90" s="2">
        <v>89</v>
      </c>
      <c r="C90" s="36">
        <v>2</v>
      </c>
      <c r="D90" s="36" t="s">
        <v>80</v>
      </c>
      <c r="E90" s="42" t="s">
        <v>0</v>
      </c>
      <c r="F90" s="15" t="s">
        <v>41</v>
      </c>
      <c r="G90" s="15" t="s">
        <v>72</v>
      </c>
      <c r="H90" s="68"/>
      <c r="I90" s="68" t="s">
        <v>151</v>
      </c>
      <c r="J90" s="37">
        <f>IF(Table1214[[#This Row],[modality]]=D89,1,0)</f>
        <v>0</v>
      </c>
      <c r="K90" s="68">
        <f>IF(Table1214[[#This Row],[stimulus]]=G91, 1, 0)</f>
        <v>1</v>
      </c>
      <c r="L90" s="68">
        <f t="shared" si="6"/>
        <v>0</v>
      </c>
      <c r="M90" s="68">
        <f t="shared" si="7"/>
        <v>1</v>
      </c>
    </row>
    <row r="91" spans="1:16" x14ac:dyDescent="0.3">
      <c r="A91" s="4">
        <v>4</v>
      </c>
      <c r="B91" s="2">
        <v>90</v>
      </c>
      <c r="C91" s="66">
        <v>2</v>
      </c>
      <c r="D91" s="66" t="s">
        <v>80</v>
      </c>
      <c r="E91" s="69" t="s">
        <v>40</v>
      </c>
      <c r="F91" s="27" t="s">
        <v>9</v>
      </c>
      <c r="G91" s="27" t="s">
        <v>72</v>
      </c>
      <c r="H91" s="68"/>
      <c r="I91" s="68" t="s">
        <v>150</v>
      </c>
      <c r="J91" s="37">
        <f>IF(Table1214[[#This Row],[modality]]=D90,1,0)</f>
        <v>1</v>
      </c>
      <c r="K91" s="68">
        <f>IF(Table1214[[#This Row],[stimulus]]=G92, 1, 0)</f>
        <v>0</v>
      </c>
      <c r="L91" s="68">
        <f t="shared" si="6"/>
        <v>0</v>
      </c>
      <c r="M91" s="68">
        <f t="shared" si="7"/>
        <v>0</v>
      </c>
    </row>
    <row r="92" spans="1:16" x14ac:dyDescent="0.3">
      <c r="A92" s="4">
        <v>4</v>
      </c>
      <c r="B92" s="2">
        <v>91</v>
      </c>
      <c r="C92" s="36">
        <v>2</v>
      </c>
      <c r="D92" s="36" t="s">
        <v>80</v>
      </c>
      <c r="E92" s="42" t="s">
        <v>0</v>
      </c>
      <c r="F92" s="15" t="s">
        <v>41</v>
      </c>
      <c r="G92" s="15" t="s">
        <v>71</v>
      </c>
      <c r="H92" s="68"/>
      <c r="I92" s="68" t="s">
        <v>151</v>
      </c>
      <c r="J92" s="37">
        <f>IF(Table1214[[#This Row],[modality]]=D91,1,0)</f>
        <v>1</v>
      </c>
      <c r="K92" s="68">
        <f>IF(Table1214[[#This Row],[stimulus]]=G93, 1, 0)</f>
        <v>1</v>
      </c>
      <c r="L92" s="68">
        <f t="shared" si="6"/>
        <v>1</v>
      </c>
      <c r="M92" s="68">
        <f t="shared" si="7"/>
        <v>0</v>
      </c>
    </row>
    <row r="93" spans="1:16" x14ac:dyDescent="0.3">
      <c r="A93" s="4">
        <v>4</v>
      </c>
      <c r="B93" s="2">
        <v>92</v>
      </c>
      <c r="C93" s="66">
        <v>1</v>
      </c>
      <c r="D93" s="66" t="s">
        <v>81</v>
      </c>
      <c r="E93" s="69" t="s">
        <v>40</v>
      </c>
      <c r="F93" s="27" t="s">
        <v>10</v>
      </c>
      <c r="G93" s="27" t="s">
        <v>71</v>
      </c>
      <c r="H93" s="68"/>
      <c r="I93" s="68" t="s">
        <v>150</v>
      </c>
      <c r="J93" s="37">
        <f>IF(Table1214[[#This Row],[modality]]=D92,1,0)</f>
        <v>0</v>
      </c>
      <c r="K93" s="68">
        <f>IF(Table1214[[#This Row],[stimulus]]=G94, 1, 0)</f>
        <v>0</v>
      </c>
      <c r="L93" s="68">
        <f t="shared" si="6"/>
        <v>0</v>
      </c>
      <c r="M93" s="68">
        <f t="shared" si="7"/>
        <v>0</v>
      </c>
      <c r="P93" t="s">
        <v>19</v>
      </c>
    </row>
    <row r="94" spans="1:16" x14ac:dyDescent="0.3">
      <c r="A94" s="4">
        <v>4</v>
      </c>
      <c r="B94" s="2">
        <v>93</v>
      </c>
      <c r="C94" s="41">
        <v>2</v>
      </c>
      <c r="D94" s="41" t="s">
        <v>80</v>
      </c>
      <c r="E94" s="41" t="s">
        <v>29</v>
      </c>
      <c r="F94" s="15" t="s">
        <v>42</v>
      </c>
      <c r="G94" s="15" t="s">
        <v>62</v>
      </c>
      <c r="H94" s="68"/>
      <c r="I94" s="68"/>
      <c r="J94" s="37">
        <f>IF(Table1214[[#This Row],[modality]]=D93,1,0)</f>
        <v>0</v>
      </c>
      <c r="K94" s="68">
        <f>IF(Table1214[[#This Row],[stimulus]]=G96, 1, 0)</f>
        <v>0</v>
      </c>
      <c r="L94" s="68">
        <f t="shared" si="6"/>
        <v>1</v>
      </c>
      <c r="M94" s="68">
        <f t="shared" si="7"/>
        <v>0</v>
      </c>
    </row>
    <row r="95" spans="1:16" x14ac:dyDescent="0.3">
      <c r="A95" s="4">
        <v>4</v>
      </c>
      <c r="B95" s="2">
        <v>94</v>
      </c>
      <c r="C95" s="76">
        <v>2</v>
      </c>
      <c r="D95" s="76" t="s">
        <v>80</v>
      </c>
      <c r="E95" s="76" t="s">
        <v>29</v>
      </c>
      <c r="F95" s="75" t="s">
        <v>42</v>
      </c>
      <c r="G95" s="75" t="s">
        <v>64</v>
      </c>
      <c r="H95" s="68"/>
      <c r="I95" s="68" t="s">
        <v>151</v>
      </c>
      <c r="J95" s="37">
        <f>IF(Table1214[[#This Row],[modality]]=D94,1,0)</f>
        <v>1</v>
      </c>
      <c r="K95" s="68">
        <f>IF(Table1214[[#This Row],[stimulus]]=G96, 1, 0)</f>
        <v>0</v>
      </c>
      <c r="L95" s="68">
        <f t="shared" si="6"/>
        <v>0</v>
      </c>
      <c r="M95" s="68">
        <f t="shared" si="7"/>
        <v>1</v>
      </c>
    </row>
    <row r="96" spans="1:16" x14ac:dyDescent="0.3">
      <c r="A96" s="4">
        <v>4</v>
      </c>
      <c r="B96" s="2">
        <v>95</v>
      </c>
      <c r="C96" s="41">
        <v>1</v>
      </c>
      <c r="D96" s="41" t="s">
        <v>81</v>
      </c>
      <c r="E96" s="41" t="s">
        <v>29</v>
      </c>
      <c r="F96" s="27" t="s">
        <v>42</v>
      </c>
      <c r="G96" s="27" t="s">
        <v>63</v>
      </c>
      <c r="H96" s="68"/>
      <c r="I96" s="68" t="s">
        <v>151</v>
      </c>
      <c r="J96" s="37">
        <f>IF(Table1214[[#This Row],[modality]]=D94,1,0)</f>
        <v>0</v>
      </c>
      <c r="K96" s="68">
        <f>IF(Table1214[[#This Row],[stimulus]]=G97, 1, 0)</f>
        <v>0</v>
      </c>
      <c r="L96" s="68">
        <f>IF(E94="T",1,0)</f>
        <v>0</v>
      </c>
      <c r="M96" s="68">
        <f>IF(E94="F",1,0)</f>
        <v>1</v>
      </c>
    </row>
    <row r="97" spans="1:13" x14ac:dyDescent="0.3">
      <c r="A97" s="4">
        <v>4</v>
      </c>
      <c r="B97" s="2">
        <v>96</v>
      </c>
      <c r="C97" s="37">
        <v>1</v>
      </c>
      <c r="D97" s="37" t="s">
        <v>81</v>
      </c>
      <c r="E97" s="43" t="s">
        <v>0</v>
      </c>
      <c r="F97" s="4" t="s">
        <v>41</v>
      </c>
      <c r="G97" s="4" t="s">
        <v>70</v>
      </c>
      <c r="H97" s="68"/>
      <c r="I97" s="68" t="s">
        <v>151</v>
      </c>
      <c r="J97" s="37">
        <f>IF(Table1214[[#This Row],[modality]]=D96,1,0)</f>
        <v>1</v>
      </c>
      <c r="K97" s="68">
        <f>IF(Table1214[[#This Row],[stimulus]]=G98, 1, 0)</f>
        <v>1</v>
      </c>
      <c r="L97" s="68">
        <f t="shared" ref="L97:L131" si="8">IF(E96="T",1,0)</f>
        <v>0</v>
      </c>
      <c r="M97" s="68">
        <f t="shared" ref="M97:M131" si="9">IF(E96="F",1,0)</f>
        <v>1</v>
      </c>
    </row>
    <row r="98" spans="1:13" x14ac:dyDescent="0.3">
      <c r="A98" s="4">
        <v>4</v>
      </c>
      <c r="B98" s="2">
        <v>97</v>
      </c>
      <c r="C98" s="36">
        <v>2</v>
      </c>
      <c r="D98" s="36" t="s">
        <v>80</v>
      </c>
      <c r="E98" s="42" t="s">
        <v>40</v>
      </c>
      <c r="F98" s="15" t="s">
        <v>10</v>
      </c>
      <c r="G98" s="15" t="s">
        <v>70</v>
      </c>
      <c r="H98" s="68"/>
      <c r="I98" s="68" t="s">
        <v>150</v>
      </c>
      <c r="J98" s="37">
        <f>IF(Table1214[[#This Row],[modality]]=D97,1,0)</f>
        <v>0</v>
      </c>
      <c r="K98" s="68">
        <f>IF(Table1214[[#This Row],[stimulus]]=G99, 1, 0)</f>
        <v>0</v>
      </c>
      <c r="L98" s="68">
        <f t="shared" si="8"/>
        <v>0</v>
      </c>
      <c r="M98" s="68">
        <f t="shared" si="9"/>
        <v>0</v>
      </c>
    </row>
    <row r="99" spans="1:13" x14ac:dyDescent="0.3">
      <c r="A99" s="4">
        <v>4</v>
      </c>
      <c r="B99" s="2">
        <v>98</v>
      </c>
      <c r="C99" s="37">
        <v>2</v>
      </c>
      <c r="D99" s="37" t="s">
        <v>80</v>
      </c>
      <c r="E99" s="43" t="s">
        <v>0</v>
      </c>
      <c r="F99" s="4" t="s">
        <v>41</v>
      </c>
      <c r="G99" s="4" t="s">
        <v>69</v>
      </c>
      <c r="H99" s="68"/>
      <c r="I99" s="68" t="s">
        <v>151</v>
      </c>
      <c r="J99" s="37">
        <f>IF(Table1214[[#This Row],[modality]]=D98,1,0)</f>
        <v>1</v>
      </c>
      <c r="K99" s="68">
        <f>IF(Table1214[[#This Row],[stimulus]]=G100, 1, 0)</f>
        <v>1</v>
      </c>
      <c r="L99" s="68">
        <f t="shared" si="8"/>
        <v>1</v>
      </c>
      <c r="M99" s="68">
        <f t="shared" si="9"/>
        <v>0</v>
      </c>
    </row>
    <row r="100" spans="1:13" x14ac:dyDescent="0.3">
      <c r="A100" s="4">
        <v>4</v>
      </c>
      <c r="B100" s="2">
        <v>99</v>
      </c>
      <c r="C100" s="36">
        <v>2</v>
      </c>
      <c r="D100" s="36" t="s">
        <v>80</v>
      </c>
      <c r="E100" s="42" t="s">
        <v>40</v>
      </c>
      <c r="F100" s="15" t="s">
        <v>9</v>
      </c>
      <c r="G100" s="15" t="s">
        <v>69</v>
      </c>
      <c r="H100" s="68"/>
      <c r="I100" s="68" t="s">
        <v>150</v>
      </c>
      <c r="J100" s="37">
        <f>IF(Table1214[[#This Row],[modality]]=D99,1,0)</f>
        <v>1</v>
      </c>
      <c r="K100" s="68">
        <f>IF(Table1214[[#This Row],[stimulus]]=G101, 1, 0)</f>
        <v>0</v>
      </c>
      <c r="L100" s="68">
        <f t="shared" si="8"/>
        <v>0</v>
      </c>
      <c r="M100" s="68">
        <f t="shared" si="9"/>
        <v>0</v>
      </c>
    </row>
    <row r="101" spans="1:13" x14ac:dyDescent="0.3">
      <c r="A101" s="79">
        <v>4</v>
      </c>
      <c r="B101" s="2">
        <v>100</v>
      </c>
      <c r="C101" s="55">
        <v>1</v>
      </c>
      <c r="D101" s="55" t="s">
        <v>81</v>
      </c>
      <c r="E101" s="56" t="s">
        <v>29</v>
      </c>
      <c r="F101" s="54" t="s">
        <v>42</v>
      </c>
      <c r="G101" s="54"/>
      <c r="H101" s="78" t="s">
        <v>127</v>
      </c>
      <c r="I101" s="68"/>
      <c r="J101" s="37">
        <f>IF(Table1214[[#This Row],[modality]]=D100,1,0)</f>
        <v>0</v>
      </c>
      <c r="K101" s="68">
        <f>IF(Table1214[[#This Row],[stimulus]]=G102, 1, 0)</f>
        <v>0</v>
      </c>
      <c r="L101" s="68">
        <f t="shared" si="8"/>
        <v>1</v>
      </c>
      <c r="M101" s="68">
        <f t="shared" si="9"/>
        <v>0</v>
      </c>
    </row>
    <row r="102" spans="1:13" x14ac:dyDescent="0.3">
      <c r="A102" s="4">
        <v>4</v>
      </c>
      <c r="B102" s="2">
        <v>101</v>
      </c>
      <c r="C102" s="41">
        <v>2</v>
      </c>
      <c r="D102" s="41" t="s">
        <v>80</v>
      </c>
      <c r="E102" s="41" t="s">
        <v>29</v>
      </c>
      <c r="F102" s="27" t="s">
        <v>42</v>
      </c>
      <c r="G102" s="27" t="s">
        <v>65</v>
      </c>
      <c r="H102" s="68"/>
      <c r="I102" s="68" t="s">
        <v>151</v>
      </c>
      <c r="J102" s="37">
        <f>IF(Table1214[[#This Row],[modality]]=D101,1,0)</f>
        <v>0</v>
      </c>
      <c r="K102" s="68">
        <f>IF(Table1214[[#This Row],[stimulus]]=G103, 1, 0)</f>
        <v>0</v>
      </c>
      <c r="L102" s="68">
        <f t="shared" si="8"/>
        <v>0</v>
      </c>
      <c r="M102" s="68">
        <f t="shared" si="9"/>
        <v>1</v>
      </c>
    </row>
    <row r="103" spans="1:13" x14ac:dyDescent="0.3">
      <c r="A103" s="4">
        <v>4</v>
      </c>
      <c r="B103" s="2">
        <v>102</v>
      </c>
      <c r="C103" s="36">
        <v>2</v>
      </c>
      <c r="D103" s="36" t="s">
        <v>80</v>
      </c>
      <c r="E103" s="42" t="s">
        <v>0</v>
      </c>
      <c r="F103" s="15" t="s">
        <v>41</v>
      </c>
      <c r="G103" s="15" t="s">
        <v>68</v>
      </c>
      <c r="H103" s="68"/>
      <c r="I103" s="68" t="s">
        <v>151</v>
      </c>
      <c r="J103" s="37">
        <f>IF(Table1214[[#This Row],[modality]]=D102,1,0)</f>
        <v>1</v>
      </c>
      <c r="K103" s="68">
        <f>IF(Table1214[[#This Row],[stimulus]]=G104, 1, 0)</f>
        <v>1</v>
      </c>
      <c r="L103" s="68">
        <f t="shared" si="8"/>
        <v>0</v>
      </c>
      <c r="M103" s="68">
        <f t="shared" si="9"/>
        <v>1</v>
      </c>
    </row>
    <row r="104" spans="1:13" x14ac:dyDescent="0.3">
      <c r="A104" s="4">
        <v>4</v>
      </c>
      <c r="B104" s="2">
        <v>103</v>
      </c>
      <c r="C104" s="66">
        <v>1</v>
      </c>
      <c r="D104" s="66" t="s">
        <v>81</v>
      </c>
      <c r="E104" s="69" t="s">
        <v>40</v>
      </c>
      <c r="F104" s="27" t="s">
        <v>10</v>
      </c>
      <c r="G104" s="27" t="s">
        <v>68</v>
      </c>
      <c r="H104" s="68"/>
      <c r="I104" s="68" t="s">
        <v>150</v>
      </c>
      <c r="J104" s="37">
        <f>IF(Table1214[[#This Row],[modality]]=D103,1,0)</f>
        <v>0</v>
      </c>
      <c r="K104" s="68">
        <f>IF(Table1214[[#This Row],[stimulus]]=G105, 1, 0)</f>
        <v>0</v>
      </c>
      <c r="L104" s="68">
        <f t="shared" si="8"/>
        <v>0</v>
      </c>
      <c r="M104" s="68">
        <f t="shared" si="9"/>
        <v>0</v>
      </c>
    </row>
    <row r="105" spans="1:13" x14ac:dyDescent="0.3">
      <c r="A105" s="4">
        <v>4</v>
      </c>
      <c r="B105" s="2">
        <v>104</v>
      </c>
      <c r="C105" s="37">
        <v>1</v>
      </c>
      <c r="D105" s="37" t="s">
        <v>81</v>
      </c>
      <c r="E105" s="43" t="s">
        <v>0</v>
      </c>
      <c r="F105" s="4" t="s">
        <v>41</v>
      </c>
      <c r="G105" s="4" t="s">
        <v>67</v>
      </c>
      <c r="H105" s="68"/>
      <c r="I105" s="68" t="s">
        <v>151</v>
      </c>
      <c r="J105" s="37">
        <f>IF(Table1214[[#This Row],[modality]]=D104,1,0)</f>
        <v>1</v>
      </c>
      <c r="K105" s="68">
        <f>IF(Table1214[[#This Row],[stimulus]]=G106, 1, 0)</f>
        <v>1</v>
      </c>
      <c r="L105" s="68">
        <f t="shared" si="8"/>
        <v>1</v>
      </c>
      <c r="M105" s="68">
        <f t="shared" si="9"/>
        <v>0</v>
      </c>
    </row>
    <row r="106" spans="1:13" x14ac:dyDescent="0.3">
      <c r="A106" s="4">
        <v>4</v>
      </c>
      <c r="B106" s="2">
        <v>105</v>
      </c>
      <c r="C106" s="36">
        <v>1</v>
      </c>
      <c r="D106" s="36" t="s">
        <v>81</v>
      </c>
      <c r="E106" s="42" t="s">
        <v>40</v>
      </c>
      <c r="F106" s="15" t="s">
        <v>9</v>
      </c>
      <c r="G106" s="15" t="s">
        <v>67</v>
      </c>
      <c r="H106" s="68"/>
      <c r="I106" s="68" t="s">
        <v>150</v>
      </c>
      <c r="J106" s="37">
        <f>IF(Table1214[[#This Row],[modality]]=D105,1,0)</f>
        <v>1</v>
      </c>
      <c r="K106" s="68">
        <f>IF(Table1214[[#This Row],[stimulus]]=G107, 1, 0)</f>
        <v>0</v>
      </c>
      <c r="L106" s="68">
        <f t="shared" si="8"/>
        <v>0</v>
      </c>
      <c r="M106" s="68">
        <f t="shared" si="9"/>
        <v>0</v>
      </c>
    </row>
    <row r="107" spans="1:13" x14ac:dyDescent="0.3">
      <c r="A107" s="4">
        <v>4</v>
      </c>
      <c r="B107" s="2">
        <v>106</v>
      </c>
      <c r="C107" s="41">
        <v>1</v>
      </c>
      <c r="D107" s="41" t="s">
        <v>80</v>
      </c>
      <c r="E107" s="41" t="s">
        <v>29</v>
      </c>
      <c r="F107" s="15" t="s">
        <v>42</v>
      </c>
      <c r="G107" s="15" t="s">
        <v>66</v>
      </c>
      <c r="H107" s="68"/>
      <c r="I107" s="68"/>
      <c r="J107" s="37">
        <f>IF(Table1214[[#This Row],[modality]]=D106,1,0)</f>
        <v>0</v>
      </c>
      <c r="K107" s="68">
        <f>IF(Table1214[[#This Row],[stimulus]]=G108, 1, 0)</f>
        <v>0</v>
      </c>
      <c r="L107" s="68">
        <f t="shared" si="8"/>
        <v>1</v>
      </c>
      <c r="M107" s="68">
        <f t="shared" si="9"/>
        <v>0</v>
      </c>
    </row>
    <row r="108" spans="1:13" x14ac:dyDescent="0.3">
      <c r="A108" s="4">
        <v>4</v>
      </c>
      <c r="B108" s="2">
        <v>107</v>
      </c>
      <c r="C108" s="41">
        <v>1</v>
      </c>
      <c r="D108" s="41" t="s">
        <v>81</v>
      </c>
      <c r="E108" s="41" t="s">
        <v>29</v>
      </c>
      <c r="F108" s="15" t="s">
        <v>42</v>
      </c>
      <c r="G108" s="15" t="s">
        <v>64</v>
      </c>
      <c r="H108" s="68"/>
      <c r="I108" s="90" t="s">
        <v>151</v>
      </c>
      <c r="J108" s="37">
        <f>IF(Table1214[[#This Row],[modality]]=D107,1,0)</f>
        <v>0</v>
      </c>
      <c r="K108" s="68">
        <f>IF(Table1214[[#This Row],[stimulus]]=G109, 1, 0)</f>
        <v>0</v>
      </c>
      <c r="L108" s="68">
        <f t="shared" si="8"/>
        <v>0</v>
      </c>
      <c r="M108" s="68">
        <f t="shared" si="9"/>
        <v>1</v>
      </c>
    </row>
    <row r="109" spans="1:13" x14ac:dyDescent="0.3">
      <c r="A109" s="2" t="s">
        <v>25</v>
      </c>
      <c r="B109" s="2">
        <v>108</v>
      </c>
      <c r="C109" s="68"/>
      <c r="D109" s="68" t="s">
        <v>142</v>
      </c>
      <c r="E109" s="68" t="s">
        <v>142</v>
      </c>
      <c r="F109" s="2"/>
      <c r="G109" s="2"/>
      <c r="H109" s="68"/>
      <c r="I109" s="68" t="s">
        <v>150</v>
      </c>
      <c r="J109" s="37">
        <f>IF(Table1214[[#This Row],[modality]]=D108,1,0)</f>
        <v>0</v>
      </c>
      <c r="K109" s="68">
        <f>IF(Table1214[[#This Row],[stimulus]]=G110, 1, 0)</f>
        <v>0</v>
      </c>
      <c r="L109" s="68">
        <f t="shared" si="8"/>
        <v>0</v>
      </c>
      <c r="M109" s="68">
        <f t="shared" si="9"/>
        <v>1</v>
      </c>
    </row>
    <row r="110" spans="1:13" x14ac:dyDescent="0.3">
      <c r="A110" s="7">
        <v>1</v>
      </c>
      <c r="B110" s="2">
        <v>109</v>
      </c>
      <c r="C110" s="42">
        <v>2</v>
      </c>
      <c r="D110" s="42" t="s">
        <v>80</v>
      </c>
      <c r="E110" s="42" t="s">
        <v>0</v>
      </c>
      <c r="F110" s="15" t="s">
        <v>41</v>
      </c>
      <c r="G110" s="15" t="s">
        <v>46</v>
      </c>
      <c r="H110" s="68"/>
      <c r="I110" s="68" t="s">
        <v>151</v>
      </c>
      <c r="J110" s="37">
        <f>IF(Table1214[[#This Row],[modality]]=D109,1,0)</f>
        <v>0</v>
      </c>
      <c r="K110" s="68">
        <f>IF(Table1214[[#This Row],[stimulus]]=G111, 1, 0)</f>
        <v>1</v>
      </c>
      <c r="L110" s="68">
        <f t="shared" si="8"/>
        <v>0</v>
      </c>
      <c r="M110" s="68">
        <f t="shared" si="9"/>
        <v>0</v>
      </c>
    </row>
    <row r="111" spans="1:13" x14ac:dyDescent="0.3">
      <c r="A111" s="7">
        <v>1</v>
      </c>
      <c r="B111" s="2">
        <v>110</v>
      </c>
      <c r="C111" s="43">
        <v>2</v>
      </c>
      <c r="D111" s="42" t="s">
        <v>80</v>
      </c>
      <c r="E111" s="43" t="s">
        <v>40</v>
      </c>
      <c r="F111" s="4" t="s">
        <v>9</v>
      </c>
      <c r="G111" s="4" t="s">
        <v>46</v>
      </c>
      <c r="H111" s="68"/>
      <c r="I111" s="68" t="s">
        <v>150</v>
      </c>
      <c r="J111" s="37">
        <f>IF(Table1214[[#This Row],[modality]]=D110,1,0)</f>
        <v>1</v>
      </c>
      <c r="K111" s="68">
        <f>IF(Table1214[[#This Row],[stimulus]]=G112, 1, 0)</f>
        <v>0</v>
      </c>
      <c r="L111" s="68">
        <f t="shared" si="8"/>
        <v>0</v>
      </c>
      <c r="M111" s="68">
        <f t="shared" si="9"/>
        <v>0</v>
      </c>
    </row>
    <row r="112" spans="1:13" x14ac:dyDescent="0.3">
      <c r="A112" s="7">
        <v>1</v>
      </c>
      <c r="B112" s="2">
        <v>111</v>
      </c>
      <c r="C112" s="38">
        <v>1</v>
      </c>
      <c r="D112" s="44" t="s">
        <v>81</v>
      </c>
      <c r="E112" s="46" t="s">
        <v>29</v>
      </c>
      <c r="F112" s="15" t="s">
        <v>42</v>
      </c>
      <c r="G112" s="15" t="s">
        <v>72</v>
      </c>
      <c r="H112" s="68"/>
      <c r="I112" s="68"/>
      <c r="J112" s="37">
        <f>IF(Table1214[[#This Row],[modality]]=D111,1,0)</f>
        <v>0</v>
      </c>
      <c r="K112" s="68">
        <f>IF(Table1214[[#This Row],[stimulus]]=G113, 1, 0)</f>
        <v>0</v>
      </c>
      <c r="L112" s="68">
        <f t="shared" si="8"/>
        <v>1</v>
      </c>
      <c r="M112" s="68">
        <f t="shared" si="9"/>
        <v>0</v>
      </c>
    </row>
    <row r="113" spans="1:13" x14ac:dyDescent="0.3">
      <c r="A113" s="7">
        <v>1</v>
      </c>
      <c r="B113" s="2">
        <v>112</v>
      </c>
      <c r="C113" s="42">
        <v>2</v>
      </c>
      <c r="D113" s="42" t="s">
        <v>80</v>
      </c>
      <c r="E113" s="42" t="s">
        <v>0</v>
      </c>
      <c r="F113" s="15" t="s">
        <v>41</v>
      </c>
      <c r="G113" s="15" t="s">
        <v>45</v>
      </c>
      <c r="H113" s="68"/>
      <c r="I113" s="68" t="s">
        <v>151</v>
      </c>
      <c r="J113" s="37">
        <f>IF(Table1214[[#This Row],[modality]]=D112,1,0)</f>
        <v>0</v>
      </c>
      <c r="K113" s="68">
        <f>IF(Table1214[[#This Row],[stimulus]]=G114, 1, 0)</f>
        <v>1</v>
      </c>
      <c r="L113" s="68">
        <f t="shared" si="8"/>
        <v>0</v>
      </c>
      <c r="M113" s="68">
        <f t="shared" si="9"/>
        <v>1</v>
      </c>
    </row>
    <row r="114" spans="1:13" x14ac:dyDescent="0.3">
      <c r="A114" s="7">
        <v>1</v>
      </c>
      <c r="B114" s="2">
        <v>113</v>
      </c>
      <c r="C114" s="69">
        <v>2</v>
      </c>
      <c r="D114" s="42" t="s">
        <v>80</v>
      </c>
      <c r="E114" s="69" t="s">
        <v>40</v>
      </c>
      <c r="F114" s="27" t="s">
        <v>9</v>
      </c>
      <c r="G114" s="27" t="s">
        <v>45</v>
      </c>
      <c r="H114" s="68"/>
      <c r="I114" s="68" t="s">
        <v>150</v>
      </c>
      <c r="J114" s="37">
        <f>IF(Table1214[[#This Row],[modality]]=D113,1,0)</f>
        <v>1</v>
      </c>
      <c r="K114" s="68">
        <f>IF(Table1214[[#This Row],[stimulus]]=G115, 1, 0)</f>
        <v>0</v>
      </c>
      <c r="L114" s="68">
        <f t="shared" si="8"/>
        <v>0</v>
      </c>
      <c r="M114" s="68">
        <f t="shared" si="9"/>
        <v>0</v>
      </c>
    </row>
    <row r="115" spans="1:13" x14ac:dyDescent="0.3">
      <c r="A115" s="4">
        <v>1</v>
      </c>
      <c r="B115" s="2">
        <v>114</v>
      </c>
      <c r="C115" s="61">
        <v>1</v>
      </c>
      <c r="D115" s="61" t="s">
        <v>81</v>
      </c>
      <c r="E115" s="61" t="s">
        <v>29</v>
      </c>
      <c r="F115" s="62" t="s">
        <v>42</v>
      </c>
      <c r="G115" s="62"/>
      <c r="H115" s="78" t="s">
        <v>127</v>
      </c>
      <c r="I115" s="78"/>
      <c r="J115" s="37">
        <f>IF(Table1214[[#This Row],[modality]]=D114,1,0)</f>
        <v>0</v>
      </c>
      <c r="K115" s="68">
        <f>IF(Table1214[[#This Row],[stimulus]]=G116, 1, 0)</f>
        <v>0</v>
      </c>
      <c r="L115" s="68">
        <f t="shared" si="8"/>
        <v>1</v>
      </c>
      <c r="M115" s="68">
        <f t="shared" si="9"/>
        <v>0</v>
      </c>
    </row>
    <row r="116" spans="1:13" x14ac:dyDescent="0.3">
      <c r="A116" s="7">
        <v>1</v>
      </c>
      <c r="B116" s="2">
        <v>115</v>
      </c>
      <c r="C116" s="38">
        <v>2</v>
      </c>
      <c r="D116" s="38" t="s">
        <v>80</v>
      </c>
      <c r="E116" s="46" t="s">
        <v>29</v>
      </c>
      <c r="F116" s="27" t="s">
        <v>42</v>
      </c>
      <c r="G116" s="27" t="s">
        <v>67</v>
      </c>
      <c r="H116" s="68"/>
      <c r="I116" s="68" t="s">
        <v>151</v>
      </c>
      <c r="J116" s="37">
        <f>IF(Table1214[[#This Row],[modality]]=D115,1,0)</f>
        <v>0</v>
      </c>
      <c r="K116" s="68">
        <f>IF(Table1214[[#This Row],[stimulus]]=G117, 1, 0)</f>
        <v>0</v>
      </c>
      <c r="L116" s="68">
        <f t="shared" si="8"/>
        <v>0</v>
      </c>
      <c r="M116" s="68">
        <f t="shared" si="9"/>
        <v>1</v>
      </c>
    </row>
    <row r="117" spans="1:13" x14ac:dyDescent="0.3">
      <c r="A117" s="7">
        <v>1</v>
      </c>
      <c r="B117" s="2">
        <v>116</v>
      </c>
      <c r="C117" s="42">
        <v>2</v>
      </c>
      <c r="D117" s="42" t="s">
        <v>80</v>
      </c>
      <c r="E117" s="42" t="s">
        <v>0</v>
      </c>
      <c r="F117" s="15" t="s">
        <v>41</v>
      </c>
      <c r="G117" s="15" t="s">
        <v>48</v>
      </c>
      <c r="H117" s="68"/>
      <c r="I117" s="68" t="s">
        <v>151</v>
      </c>
      <c r="J117" s="37">
        <f>IF(Table1214[[#This Row],[modality]]=D116,1,0)</f>
        <v>1</v>
      </c>
      <c r="K117" s="68">
        <f>IF(Table1214[[#This Row],[stimulus]]=G118, 1, 0)</f>
        <v>1</v>
      </c>
      <c r="L117" s="68">
        <f t="shared" si="8"/>
        <v>0</v>
      </c>
      <c r="M117" s="68">
        <f t="shared" si="9"/>
        <v>1</v>
      </c>
    </row>
    <row r="118" spans="1:13" x14ac:dyDescent="0.3">
      <c r="A118" s="7">
        <v>1</v>
      </c>
      <c r="B118" s="2">
        <v>117</v>
      </c>
      <c r="C118" s="69">
        <v>1</v>
      </c>
      <c r="D118" s="69" t="s">
        <v>81</v>
      </c>
      <c r="E118" s="69" t="s">
        <v>40</v>
      </c>
      <c r="F118" s="27" t="s">
        <v>10</v>
      </c>
      <c r="G118" s="27" t="s">
        <v>48</v>
      </c>
      <c r="H118" s="68"/>
      <c r="I118" s="68" t="s">
        <v>150</v>
      </c>
      <c r="J118" s="37">
        <f>IF(Table1214[[#This Row],[modality]]=D117,1,0)</f>
        <v>0</v>
      </c>
      <c r="K118" s="68">
        <f>IF(Table1214[[#This Row],[stimulus]]=G119, 1, 0)</f>
        <v>0</v>
      </c>
      <c r="L118" s="68">
        <f t="shared" si="8"/>
        <v>0</v>
      </c>
      <c r="M118" s="68">
        <f t="shared" si="9"/>
        <v>0</v>
      </c>
    </row>
    <row r="119" spans="1:13" x14ac:dyDescent="0.3">
      <c r="A119" s="7">
        <v>1</v>
      </c>
      <c r="B119" s="2">
        <v>118</v>
      </c>
      <c r="C119" s="38">
        <v>1</v>
      </c>
      <c r="D119" s="44" t="s">
        <v>81</v>
      </c>
      <c r="E119" s="46" t="s">
        <v>29</v>
      </c>
      <c r="F119" s="15" t="s">
        <v>42</v>
      </c>
      <c r="G119" s="15" t="s">
        <v>71</v>
      </c>
      <c r="H119" s="68"/>
      <c r="I119" s="68"/>
      <c r="J119" s="37">
        <f>IF(Table1214[[#This Row],[modality]]=D118,1,0)</f>
        <v>1</v>
      </c>
      <c r="K119" s="68">
        <f>IF(Table1214[[#This Row],[stimulus]]=G120, 1, 0)</f>
        <v>0</v>
      </c>
      <c r="L119" s="68">
        <f t="shared" si="8"/>
        <v>1</v>
      </c>
      <c r="M119" s="68">
        <f t="shared" si="9"/>
        <v>0</v>
      </c>
    </row>
    <row r="120" spans="1:13" x14ac:dyDescent="0.3">
      <c r="A120" s="7">
        <v>1</v>
      </c>
      <c r="B120" s="2">
        <v>119</v>
      </c>
      <c r="C120" s="69">
        <v>1</v>
      </c>
      <c r="D120" s="69" t="s">
        <v>81</v>
      </c>
      <c r="E120" s="69" t="s">
        <v>0</v>
      </c>
      <c r="F120" s="27" t="s">
        <v>41</v>
      </c>
      <c r="G120" s="27" t="s">
        <v>44</v>
      </c>
      <c r="H120" s="68"/>
      <c r="I120" s="68" t="s">
        <v>151</v>
      </c>
      <c r="J120" s="37">
        <f>IF(Table1214[[#This Row],[modality]]=D119,1,0)</f>
        <v>1</v>
      </c>
      <c r="K120" s="68">
        <f>IF(Table1214[[#This Row],[stimulus]]=G121, 1, 0)</f>
        <v>1</v>
      </c>
      <c r="L120" s="68">
        <f t="shared" si="8"/>
        <v>0</v>
      </c>
      <c r="M120" s="68">
        <f t="shared" si="9"/>
        <v>1</v>
      </c>
    </row>
    <row r="121" spans="1:13" x14ac:dyDescent="0.3">
      <c r="A121" s="7">
        <v>1</v>
      </c>
      <c r="B121" s="2">
        <v>120</v>
      </c>
      <c r="C121" s="42">
        <v>2</v>
      </c>
      <c r="D121" s="42" t="s">
        <v>80</v>
      </c>
      <c r="E121" s="42" t="s">
        <v>40</v>
      </c>
      <c r="F121" s="15" t="s">
        <v>10</v>
      </c>
      <c r="G121" s="15" t="s">
        <v>44</v>
      </c>
      <c r="H121" s="68"/>
      <c r="I121" s="68" t="s">
        <v>150</v>
      </c>
      <c r="J121" s="37">
        <f>IF(Table1214[[#This Row],[modality]]=D120,1,0)</f>
        <v>0</v>
      </c>
      <c r="K121" s="68">
        <f>IF(Table1214[[#This Row],[stimulus]]=G122, 1, 0)</f>
        <v>0</v>
      </c>
      <c r="L121" s="68">
        <f t="shared" si="8"/>
        <v>0</v>
      </c>
      <c r="M121" s="68">
        <f t="shared" si="9"/>
        <v>0</v>
      </c>
    </row>
    <row r="122" spans="1:13" x14ac:dyDescent="0.3">
      <c r="A122" s="7">
        <v>1</v>
      </c>
      <c r="B122" s="2">
        <v>121</v>
      </c>
      <c r="C122" s="69">
        <v>2</v>
      </c>
      <c r="D122" s="69" t="s">
        <v>80</v>
      </c>
      <c r="E122" s="69" t="s">
        <v>0</v>
      </c>
      <c r="F122" s="27" t="s">
        <v>41</v>
      </c>
      <c r="G122" s="27" t="s">
        <v>43</v>
      </c>
      <c r="H122" s="68"/>
      <c r="I122" s="68" t="s">
        <v>151</v>
      </c>
      <c r="J122" s="37">
        <f>IF(Table1214[[#This Row],[modality]]=D121,1,0)</f>
        <v>1</v>
      </c>
      <c r="K122" s="68">
        <f>IF(Table1214[[#This Row],[stimulus]]=G123, 1, 0)</f>
        <v>1</v>
      </c>
      <c r="L122" s="68">
        <f t="shared" si="8"/>
        <v>1</v>
      </c>
      <c r="M122" s="68">
        <f t="shared" si="9"/>
        <v>0</v>
      </c>
    </row>
    <row r="123" spans="1:13" x14ac:dyDescent="0.3">
      <c r="A123" s="7">
        <v>1</v>
      </c>
      <c r="B123" s="2">
        <v>122</v>
      </c>
      <c r="C123" s="42">
        <v>1</v>
      </c>
      <c r="D123" s="42" t="s">
        <v>81</v>
      </c>
      <c r="E123" s="42" t="s">
        <v>40</v>
      </c>
      <c r="F123" s="15" t="s">
        <v>10</v>
      </c>
      <c r="G123" s="15" t="s">
        <v>43</v>
      </c>
      <c r="H123" s="68"/>
      <c r="I123" s="68" t="s">
        <v>150</v>
      </c>
      <c r="J123" s="37">
        <f>IF(Table1214[[#This Row],[modality]]=D122,1,0)</f>
        <v>0</v>
      </c>
      <c r="K123" s="68">
        <f>IF(Table1214[[#This Row],[stimulus]]=G124, 1, 0)</f>
        <v>0</v>
      </c>
      <c r="L123" s="68">
        <f t="shared" si="8"/>
        <v>0</v>
      </c>
      <c r="M123" s="68">
        <f t="shared" si="9"/>
        <v>0</v>
      </c>
    </row>
    <row r="124" spans="1:13" x14ac:dyDescent="0.3">
      <c r="A124" s="7">
        <v>1</v>
      </c>
      <c r="B124" s="2">
        <v>123</v>
      </c>
      <c r="C124" s="38">
        <v>2</v>
      </c>
      <c r="D124" s="38" t="s">
        <v>80</v>
      </c>
      <c r="E124" s="46" t="s">
        <v>29</v>
      </c>
      <c r="F124" s="27" t="s">
        <v>42</v>
      </c>
      <c r="G124" s="27" t="s">
        <v>73</v>
      </c>
      <c r="H124" s="68"/>
      <c r="I124" s="68"/>
      <c r="J124" s="37">
        <f>IF(Table1214[[#This Row],[modality]]=D123,1,0)</f>
        <v>0</v>
      </c>
      <c r="K124" s="68">
        <f>IF(Table1214[[#This Row],[stimulus]]=G125, 1, 0)</f>
        <v>0</v>
      </c>
      <c r="L124" s="68">
        <f t="shared" si="8"/>
        <v>1</v>
      </c>
      <c r="M124" s="68">
        <f t="shared" si="9"/>
        <v>0</v>
      </c>
    </row>
    <row r="125" spans="1:13" x14ac:dyDescent="0.3">
      <c r="A125" s="7">
        <v>1</v>
      </c>
      <c r="B125" s="2">
        <v>124</v>
      </c>
      <c r="C125" s="42">
        <v>1</v>
      </c>
      <c r="D125" s="42" t="s">
        <v>81</v>
      </c>
      <c r="E125" s="42" t="s">
        <v>0</v>
      </c>
      <c r="F125" s="15" t="s">
        <v>41</v>
      </c>
      <c r="G125" s="15" t="s">
        <v>50</v>
      </c>
      <c r="H125" s="68"/>
      <c r="I125" s="68" t="s">
        <v>151</v>
      </c>
      <c r="J125" s="37">
        <f>IF(Table1214[[#This Row],[modality]]=D124,1,0)</f>
        <v>0</v>
      </c>
      <c r="K125" s="68">
        <f>IF(Table1214[[#This Row],[stimulus]]=G126, 1, 0)</f>
        <v>1</v>
      </c>
      <c r="L125" s="68">
        <f t="shared" si="8"/>
        <v>0</v>
      </c>
      <c r="M125" s="68">
        <f t="shared" si="9"/>
        <v>1</v>
      </c>
    </row>
    <row r="126" spans="1:13" x14ac:dyDescent="0.3">
      <c r="A126" s="7">
        <v>1</v>
      </c>
      <c r="B126" s="2">
        <v>125</v>
      </c>
      <c r="C126" s="69">
        <v>1</v>
      </c>
      <c r="D126" s="42" t="s">
        <v>81</v>
      </c>
      <c r="E126" s="69" t="s">
        <v>40</v>
      </c>
      <c r="F126" s="27" t="s">
        <v>9</v>
      </c>
      <c r="G126" s="27" t="s">
        <v>50</v>
      </c>
      <c r="H126" s="68"/>
      <c r="I126" s="68" t="s">
        <v>150</v>
      </c>
      <c r="J126" s="37">
        <f>IF(Table1214[[#This Row],[modality]]=D125,1,0)</f>
        <v>1</v>
      </c>
      <c r="K126" s="68">
        <f>IF(Table1214[[#This Row],[stimulus]]=G127, 1, 0)</f>
        <v>0</v>
      </c>
      <c r="L126" s="68">
        <f t="shared" si="8"/>
        <v>0</v>
      </c>
      <c r="M126" s="68">
        <f t="shared" si="9"/>
        <v>0</v>
      </c>
    </row>
    <row r="127" spans="1:13" x14ac:dyDescent="0.3">
      <c r="A127" s="7">
        <v>1</v>
      </c>
      <c r="B127" s="2">
        <v>126</v>
      </c>
      <c r="C127" s="38">
        <v>2</v>
      </c>
      <c r="D127" s="44" t="s">
        <v>80</v>
      </c>
      <c r="E127" s="46" t="s">
        <v>29</v>
      </c>
      <c r="F127" s="15" t="s">
        <v>42</v>
      </c>
      <c r="G127" s="15" t="s">
        <v>68</v>
      </c>
      <c r="H127" s="68"/>
      <c r="I127" s="68"/>
      <c r="J127" s="37">
        <f>IF(Table1214[[#This Row],[modality]]=D126,1,0)</f>
        <v>0</v>
      </c>
      <c r="K127" s="68">
        <f>IF(Table1214[[#This Row],[stimulus]]=G128, 1, 0)</f>
        <v>0</v>
      </c>
      <c r="L127" s="68">
        <f t="shared" si="8"/>
        <v>1</v>
      </c>
      <c r="M127" s="68">
        <f t="shared" si="9"/>
        <v>0</v>
      </c>
    </row>
    <row r="128" spans="1:13" x14ac:dyDescent="0.3">
      <c r="A128" s="7">
        <v>1</v>
      </c>
      <c r="B128" s="2">
        <v>127</v>
      </c>
      <c r="C128" s="69">
        <v>1</v>
      </c>
      <c r="D128" s="69" t="s">
        <v>81</v>
      </c>
      <c r="E128" s="69" t="s">
        <v>0</v>
      </c>
      <c r="F128" s="27" t="s">
        <v>41</v>
      </c>
      <c r="G128" s="27" t="s">
        <v>47</v>
      </c>
      <c r="H128" s="68"/>
      <c r="I128" s="68" t="s">
        <v>151</v>
      </c>
      <c r="J128" s="37">
        <f>IF(Table1214[[#This Row],[modality]]=D127,1,0)</f>
        <v>0</v>
      </c>
      <c r="K128" s="68">
        <f>IF(Table1214[[#This Row],[stimulus]]=G129, 1, 0)</f>
        <v>1</v>
      </c>
      <c r="L128" s="68">
        <f t="shared" si="8"/>
        <v>0</v>
      </c>
      <c r="M128" s="68">
        <f t="shared" si="9"/>
        <v>1</v>
      </c>
    </row>
    <row r="129" spans="1:13" x14ac:dyDescent="0.3">
      <c r="A129" s="7">
        <v>1</v>
      </c>
      <c r="B129" s="2">
        <v>128</v>
      </c>
      <c r="C129" s="42">
        <v>1</v>
      </c>
      <c r="D129" s="42" t="s">
        <v>81</v>
      </c>
      <c r="E129" s="42" t="s">
        <v>40</v>
      </c>
      <c r="F129" s="15" t="s">
        <v>9</v>
      </c>
      <c r="G129" s="15" t="s">
        <v>47</v>
      </c>
      <c r="H129" s="68"/>
      <c r="I129" s="68" t="s">
        <v>150</v>
      </c>
      <c r="J129" s="37">
        <f>IF(Table1214[[#This Row],[modality]]=D128,1,0)</f>
        <v>1</v>
      </c>
      <c r="K129" s="68">
        <f>IF(Table1214[[#This Row],[stimulus]]=G130, 1, 0)</f>
        <v>0</v>
      </c>
      <c r="L129" s="68">
        <f t="shared" si="8"/>
        <v>0</v>
      </c>
      <c r="M129" s="68">
        <f t="shared" si="9"/>
        <v>0</v>
      </c>
    </row>
    <row r="130" spans="1:13" x14ac:dyDescent="0.3">
      <c r="A130" s="7">
        <v>1</v>
      </c>
      <c r="B130" s="2">
        <v>129</v>
      </c>
      <c r="C130" s="38">
        <v>2</v>
      </c>
      <c r="D130" s="38" t="s">
        <v>80</v>
      </c>
      <c r="E130" s="46" t="s">
        <v>29</v>
      </c>
      <c r="F130" s="27" t="s">
        <v>42</v>
      </c>
      <c r="G130" s="27" t="s">
        <v>74</v>
      </c>
      <c r="H130" s="68"/>
      <c r="I130" s="68"/>
      <c r="J130" s="37">
        <f>IF(Table1214[[#This Row],[modality]]=D129,1,0)</f>
        <v>0</v>
      </c>
      <c r="K130" s="68">
        <f>IF(Table1214[[#This Row],[stimulus]]=G132, 1, 0)</f>
        <v>0</v>
      </c>
      <c r="L130" s="68">
        <f t="shared" si="8"/>
        <v>1</v>
      </c>
      <c r="M130" s="68">
        <f t="shared" si="9"/>
        <v>0</v>
      </c>
    </row>
    <row r="131" spans="1:13" x14ac:dyDescent="0.3">
      <c r="A131" s="4">
        <v>1</v>
      </c>
      <c r="B131" s="2">
        <v>130</v>
      </c>
      <c r="C131" s="76">
        <v>2</v>
      </c>
      <c r="D131" s="76" t="s">
        <v>80</v>
      </c>
      <c r="E131" s="76" t="s">
        <v>29</v>
      </c>
      <c r="F131" s="89" t="s">
        <v>42</v>
      </c>
      <c r="G131" s="75" t="s">
        <v>71</v>
      </c>
      <c r="H131" s="68"/>
      <c r="I131" s="68" t="s">
        <v>151</v>
      </c>
      <c r="J131" s="37">
        <f>IF(Table1214[[#This Row],[modality]]=D130,1,0)</f>
        <v>1</v>
      </c>
      <c r="K131" s="68">
        <f>IF(Table1214[[#This Row],[stimulus]]=G132, 1, 0)</f>
        <v>0</v>
      </c>
      <c r="L131" s="68">
        <f t="shared" si="8"/>
        <v>0</v>
      </c>
      <c r="M131" s="68">
        <f t="shared" si="9"/>
        <v>1</v>
      </c>
    </row>
    <row r="132" spans="1:13" x14ac:dyDescent="0.3">
      <c r="A132" s="7">
        <v>1</v>
      </c>
      <c r="B132" s="2">
        <v>131</v>
      </c>
      <c r="C132" s="38">
        <v>1</v>
      </c>
      <c r="D132" s="44" t="s">
        <v>81</v>
      </c>
      <c r="E132" s="46" t="s">
        <v>29</v>
      </c>
      <c r="F132" s="15" t="s">
        <v>42</v>
      </c>
      <c r="G132" s="15" t="s">
        <v>69</v>
      </c>
      <c r="H132" s="68"/>
      <c r="I132" s="68" t="s">
        <v>151</v>
      </c>
      <c r="J132" s="37">
        <f>IF(Table1214[[#This Row],[modality]]=D130,1,0)</f>
        <v>0</v>
      </c>
      <c r="K132" s="68">
        <f>IF(Table1214[[#This Row],[stimulus]]=G133, 1, 0)</f>
        <v>0</v>
      </c>
      <c r="L132" s="68">
        <f>IF(E130="T",1,0)</f>
        <v>0</v>
      </c>
      <c r="M132" s="68">
        <f>IF(E130="F",1,0)</f>
        <v>1</v>
      </c>
    </row>
    <row r="133" spans="1:13" x14ac:dyDescent="0.3">
      <c r="A133" s="7">
        <v>1</v>
      </c>
      <c r="B133" s="2">
        <v>132</v>
      </c>
      <c r="C133" s="69">
        <v>1</v>
      </c>
      <c r="D133" s="69" t="s">
        <v>81</v>
      </c>
      <c r="E133" s="69" t="s">
        <v>0</v>
      </c>
      <c r="F133" s="27" t="s">
        <v>41</v>
      </c>
      <c r="G133" s="27" t="s">
        <v>49</v>
      </c>
      <c r="H133" s="68"/>
      <c r="I133" s="68" t="s">
        <v>151</v>
      </c>
      <c r="J133" s="37">
        <f>IF(Table1214[[#This Row],[modality]]=D132,1,0)</f>
        <v>1</v>
      </c>
      <c r="K133" s="68">
        <f>IF(Table1214[[#This Row],[stimulus]]=G134, 1, 0)</f>
        <v>1</v>
      </c>
      <c r="L133" s="68">
        <f>IF(E132="T",1,0)</f>
        <v>0</v>
      </c>
      <c r="M133" s="68">
        <f>IF(E132="F",1,0)</f>
        <v>1</v>
      </c>
    </row>
    <row r="134" spans="1:13" x14ac:dyDescent="0.3">
      <c r="A134" s="7">
        <v>1</v>
      </c>
      <c r="B134" s="2">
        <v>133</v>
      </c>
      <c r="C134" s="42">
        <v>2</v>
      </c>
      <c r="D134" s="42" t="s">
        <v>80</v>
      </c>
      <c r="E134" s="42" t="s">
        <v>40</v>
      </c>
      <c r="F134" s="15" t="s">
        <v>10</v>
      </c>
      <c r="G134" s="15" t="s">
        <v>49</v>
      </c>
      <c r="H134" s="68"/>
      <c r="I134" s="68" t="s">
        <v>150</v>
      </c>
      <c r="J134" s="37">
        <f>IF(Table1214[[#This Row],[modality]]=D133,1,0)</f>
        <v>0</v>
      </c>
      <c r="K134" s="68">
        <f>IF(Table1214[[#This Row],[stimulus]]=G135, 1, 0)</f>
        <v>0</v>
      </c>
      <c r="L134" s="68">
        <f>IF(E133="T",1,0)</f>
        <v>0</v>
      </c>
      <c r="M134" s="68">
        <f>IF(E133="F",1,0)</f>
        <v>0</v>
      </c>
    </row>
    <row r="135" spans="1:13" x14ac:dyDescent="0.3">
      <c r="A135" s="7">
        <v>1</v>
      </c>
      <c r="B135" s="2">
        <v>134</v>
      </c>
      <c r="C135" s="38">
        <v>1</v>
      </c>
      <c r="D135" s="38" t="s">
        <v>81</v>
      </c>
      <c r="E135" s="46" t="s">
        <v>29</v>
      </c>
      <c r="F135" s="27" t="s">
        <v>42</v>
      </c>
      <c r="G135" s="27" t="s">
        <v>70</v>
      </c>
      <c r="H135" s="68"/>
      <c r="I135" s="68"/>
      <c r="J135" s="37">
        <f>IF(Table1214[[#This Row],[modality]]=D134,1,0)</f>
        <v>0</v>
      </c>
      <c r="K135" s="68">
        <f>IF(Table1214[[#This Row],[stimulus]]=G137, 1, 0)</f>
        <v>0</v>
      </c>
      <c r="L135" s="68">
        <f>IF(E134="T",1,0)</f>
        <v>1</v>
      </c>
      <c r="M135" s="68">
        <f>IF(E134="F",1,0)</f>
        <v>0</v>
      </c>
    </row>
    <row r="136" spans="1:13" x14ac:dyDescent="0.3">
      <c r="A136" s="4">
        <v>1</v>
      </c>
      <c r="B136" s="2">
        <v>135</v>
      </c>
      <c r="C136" s="81">
        <v>1</v>
      </c>
      <c r="D136" s="81" t="s">
        <v>81</v>
      </c>
      <c r="E136" s="81" t="s">
        <v>29</v>
      </c>
      <c r="F136" s="82" t="s">
        <v>42</v>
      </c>
      <c r="G136" s="82" t="s">
        <v>72</v>
      </c>
      <c r="H136" s="68"/>
      <c r="I136" s="68" t="s">
        <v>151</v>
      </c>
      <c r="J136" s="37">
        <f>IF(Table1214[[#This Row],[modality]]=D135,1,0)</f>
        <v>1</v>
      </c>
      <c r="K136" s="68">
        <f>IF(Table1214[[#This Row],[stimulus]]=G137, 1, 0)</f>
        <v>0</v>
      </c>
      <c r="L136" s="68">
        <f>IF(E135="T",1,0)</f>
        <v>0</v>
      </c>
      <c r="M136" s="68">
        <f>IF(E135="F",1,0)</f>
        <v>1</v>
      </c>
    </row>
    <row r="137" spans="1:13" x14ac:dyDescent="0.3">
      <c r="A137" s="4">
        <v>2</v>
      </c>
      <c r="B137" s="2">
        <v>136</v>
      </c>
      <c r="C137" s="43">
        <v>1</v>
      </c>
      <c r="D137" s="37" t="s">
        <v>81</v>
      </c>
      <c r="E137" s="43" t="s">
        <v>0</v>
      </c>
      <c r="F137" s="4" t="s">
        <v>41</v>
      </c>
      <c r="G137" s="4" t="s">
        <v>54</v>
      </c>
      <c r="H137" s="68"/>
      <c r="I137" s="68" t="s">
        <v>151</v>
      </c>
      <c r="J137" s="37">
        <f>IF(Table1214[[#This Row],[modality]]=D135,1,0)</f>
        <v>1</v>
      </c>
      <c r="K137" s="68">
        <f>IF(Table1214[[#This Row],[stimulus]]=G138, 1, 0)</f>
        <v>1</v>
      </c>
      <c r="L137" s="68">
        <f>IF(E135="T",1,0)</f>
        <v>0</v>
      </c>
      <c r="M137" s="68">
        <f>IF(E135="F",1,0)</f>
        <v>1</v>
      </c>
    </row>
    <row r="138" spans="1:13" x14ac:dyDescent="0.3">
      <c r="A138" s="4">
        <v>2</v>
      </c>
      <c r="B138" s="2">
        <v>137</v>
      </c>
      <c r="C138" s="42">
        <v>1</v>
      </c>
      <c r="D138" s="36" t="s">
        <v>81</v>
      </c>
      <c r="E138" s="42" t="s">
        <v>40</v>
      </c>
      <c r="F138" s="15" t="s">
        <v>9</v>
      </c>
      <c r="G138" s="15" t="s">
        <v>54</v>
      </c>
      <c r="H138" s="68"/>
      <c r="I138" s="68" t="s">
        <v>150</v>
      </c>
      <c r="J138" s="37">
        <f>IF(Table1214[[#This Row],[modality]]=D137,1,0)</f>
        <v>1</v>
      </c>
      <c r="K138" s="68">
        <f>IF(Table1214[[#This Row],[stimulus]]=G139, 1, 0)</f>
        <v>0</v>
      </c>
      <c r="L138" s="68">
        <f t="shared" ref="L138:L145" si="10">IF(E137="T",1,0)</f>
        <v>0</v>
      </c>
      <c r="M138" s="68">
        <f t="shared" ref="M138:M145" si="11">IF(E137="F",1,0)</f>
        <v>0</v>
      </c>
    </row>
    <row r="139" spans="1:13" x14ac:dyDescent="0.3">
      <c r="A139" s="4">
        <v>2</v>
      </c>
      <c r="B139" s="2">
        <v>138</v>
      </c>
      <c r="C139" s="39">
        <v>2</v>
      </c>
      <c r="D139" s="39" t="s">
        <v>80</v>
      </c>
      <c r="E139" s="39" t="s">
        <v>29</v>
      </c>
      <c r="F139" s="4" t="s">
        <v>42</v>
      </c>
      <c r="G139" s="4" t="s">
        <v>46</v>
      </c>
      <c r="H139" s="68"/>
      <c r="I139" s="68"/>
      <c r="J139" s="37">
        <f>IF(Table1214[[#This Row],[modality]]=D138,1,0)</f>
        <v>0</v>
      </c>
      <c r="K139" s="68">
        <f>IF(Table1214[[#This Row],[stimulus]]=G140, 1, 0)</f>
        <v>0</v>
      </c>
      <c r="L139" s="68">
        <f t="shared" si="10"/>
        <v>1</v>
      </c>
      <c r="M139" s="68">
        <f t="shared" si="11"/>
        <v>0</v>
      </c>
    </row>
    <row r="140" spans="1:13" x14ac:dyDescent="0.3">
      <c r="A140" s="4">
        <v>2</v>
      </c>
      <c r="B140" s="2">
        <v>139</v>
      </c>
      <c r="C140" s="42">
        <v>1</v>
      </c>
      <c r="D140" s="42" t="s">
        <v>81</v>
      </c>
      <c r="E140" s="42" t="s">
        <v>0</v>
      </c>
      <c r="F140" s="15" t="s">
        <v>41</v>
      </c>
      <c r="G140" s="15" t="s">
        <v>56</v>
      </c>
      <c r="H140" s="68"/>
      <c r="I140" s="68" t="s">
        <v>151</v>
      </c>
      <c r="J140" s="37">
        <f>IF(Table1214[[#This Row],[modality]]=D139,1,0)</f>
        <v>0</v>
      </c>
      <c r="K140" s="68">
        <f>IF(Table1214[[#This Row],[stimulus]]=G141, 1, 0)</f>
        <v>1</v>
      </c>
      <c r="L140" s="68">
        <f t="shared" si="10"/>
        <v>0</v>
      </c>
      <c r="M140" s="68">
        <f t="shared" si="11"/>
        <v>1</v>
      </c>
    </row>
    <row r="141" spans="1:13" x14ac:dyDescent="0.3">
      <c r="A141" s="4">
        <v>2</v>
      </c>
      <c r="B141" s="2">
        <v>140</v>
      </c>
      <c r="C141" s="43">
        <v>1</v>
      </c>
      <c r="D141" s="43" t="s">
        <v>81</v>
      </c>
      <c r="E141" s="43" t="s">
        <v>40</v>
      </c>
      <c r="F141" s="4" t="s">
        <v>9</v>
      </c>
      <c r="G141" s="4" t="s">
        <v>56</v>
      </c>
      <c r="H141" s="68"/>
      <c r="I141" s="68" t="s">
        <v>150</v>
      </c>
      <c r="J141" s="37">
        <f>IF(Table1214[[#This Row],[modality]]=D140,1,0)</f>
        <v>1</v>
      </c>
      <c r="K141" s="68">
        <f>IF(Table1214[[#This Row],[stimulus]]=G142, 1, 0)</f>
        <v>0</v>
      </c>
      <c r="L141" s="68">
        <f t="shared" si="10"/>
        <v>0</v>
      </c>
      <c r="M141" s="68">
        <f t="shared" si="11"/>
        <v>0</v>
      </c>
    </row>
    <row r="142" spans="1:13" x14ac:dyDescent="0.3">
      <c r="A142" s="4">
        <v>2</v>
      </c>
      <c r="B142" s="2">
        <v>141</v>
      </c>
      <c r="C142" s="42">
        <v>1</v>
      </c>
      <c r="D142" s="42" t="s">
        <v>81</v>
      </c>
      <c r="E142" s="42" t="s">
        <v>0</v>
      </c>
      <c r="F142" s="15" t="s">
        <v>41</v>
      </c>
      <c r="G142" s="15" t="s">
        <v>58</v>
      </c>
      <c r="H142" s="68"/>
      <c r="I142" s="68" t="s">
        <v>151</v>
      </c>
      <c r="J142" s="37">
        <f>IF(Table1214[[#This Row],[modality]]=D141,1,0)</f>
        <v>1</v>
      </c>
      <c r="K142" s="68">
        <f>IF(Table1214[[#This Row],[stimulus]]=G143, 1, 0)</f>
        <v>1</v>
      </c>
      <c r="L142" s="68">
        <f t="shared" si="10"/>
        <v>1</v>
      </c>
      <c r="M142" s="68">
        <f t="shared" si="11"/>
        <v>0</v>
      </c>
    </row>
    <row r="143" spans="1:13" x14ac:dyDescent="0.3">
      <c r="A143" s="4">
        <v>2</v>
      </c>
      <c r="B143" s="2">
        <v>142</v>
      </c>
      <c r="C143" s="43">
        <v>2</v>
      </c>
      <c r="D143" s="43" t="s">
        <v>80</v>
      </c>
      <c r="E143" s="43" t="s">
        <v>40</v>
      </c>
      <c r="F143" s="4" t="s">
        <v>10</v>
      </c>
      <c r="G143" s="4" t="s">
        <v>58</v>
      </c>
      <c r="H143" s="68"/>
      <c r="I143" s="68" t="s">
        <v>150</v>
      </c>
      <c r="J143" s="37">
        <f>IF(Table1214[[#This Row],[modality]]=D142,1,0)</f>
        <v>0</v>
      </c>
      <c r="K143" s="68">
        <f>IF(Table1214[[#This Row],[stimulus]]=G144, 1, 0)</f>
        <v>0</v>
      </c>
      <c r="L143" s="68">
        <f t="shared" si="10"/>
        <v>0</v>
      </c>
      <c r="M143" s="68">
        <f t="shared" si="11"/>
        <v>0</v>
      </c>
    </row>
    <row r="144" spans="1:13" x14ac:dyDescent="0.3">
      <c r="A144" s="4">
        <v>2</v>
      </c>
      <c r="B144" s="2">
        <v>143</v>
      </c>
      <c r="C144" s="39">
        <v>2</v>
      </c>
      <c r="D144" s="39" t="s">
        <v>80</v>
      </c>
      <c r="E144" s="39" t="s">
        <v>29</v>
      </c>
      <c r="F144" s="15" t="s">
        <v>42</v>
      </c>
      <c r="G144" s="15" t="s">
        <v>45</v>
      </c>
      <c r="H144" s="68"/>
      <c r="I144" s="68"/>
      <c r="J144" s="37">
        <f>IF(Table1214[[#This Row],[modality]]=D143,1,0)</f>
        <v>1</v>
      </c>
      <c r="K144" s="68">
        <f>IF(Table1214[[#This Row],[stimulus]]=G146, 1, 0)</f>
        <v>0</v>
      </c>
      <c r="L144" s="68">
        <f t="shared" si="10"/>
        <v>1</v>
      </c>
      <c r="M144" s="68">
        <f t="shared" si="11"/>
        <v>0</v>
      </c>
    </row>
    <row r="145" spans="1:13" x14ac:dyDescent="0.3">
      <c r="A145" s="4">
        <v>2</v>
      </c>
      <c r="B145" s="2">
        <v>144</v>
      </c>
      <c r="C145" s="76">
        <v>2</v>
      </c>
      <c r="D145" s="76" t="s">
        <v>80</v>
      </c>
      <c r="E145" s="76" t="s">
        <v>29</v>
      </c>
      <c r="F145" s="75" t="s">
        <v>42</v>
      </c>
      <c r="G145" s="75" t="s">
        <v>50</v>
      </c>
      <c r="H145" s="68"/>
      <c r="I145" s="68" t="s">
        <v>151</v>
      </c>
      <c r="J145" s="37">
        <f>IF(Table1214[[#This Row],[modality]]=D144,1,0)</f>
        <v>1</v>
      </c>
      <c r="K145" s="68">
        <f>IF(Table1214[[#This Row],[stimulus]]=G146, 1, 0)</f>
        <v>0</v>
      </c>
      <c r="L145" s="68">
        <f t="shared" si="10"/>
        <v>0</v>
      </c>
      <c r="M145" s="68">
        <f t="shared" si="11"/>
        <v>1</v>
      </c>
    </row>
    <row r="146" spans="1:13" x14ac:dyDescent="0.3">
      <c r="A146" s="4">
        <v>2</v>
      </c>
      <c r="B146" s="2">
        <v>145</v>
      </c>
      <c r="C146" s="43">
        <v>2</v>
      </c>
      <c r="D146" s="43" t="s">
        <v>80</v>
      </c>
      <c r="E146" s="43" t="s">
        <v>0</v>
      </c>
      <c r="F146" s="4" t="s">
        <v>41</v>
      </c>
      <c r="G146" s="4" t="s">
        <v>52</v>
      </c>
      <c r="H146" s="68"/>
      <c r="I146" s="68" t="s">
        <v>151</v>
      </c>
      <c r="J146" s="37">
        <f>IF(Table1214[[#This Row],[modality]]=D144,1,0)</f>
        <v>1</v>
      </c>
      <c r="K146" s="68">
        <f>IF(Table1214[[#This Row],[stimulus]]=G147, 1, 0)</f>
        <v>1</v>
      </c>
      <c r="L146" s="68">
        <f>IF(E144="T",1,0)</f>
        <v>0</v>
      </c>
      <c r="M146" s="68">
        <f>IF(E144="F",1,0)</f>
        <v>1</v>
      </c>
    </row>
    <row r="147" spans="1:13" x14ac:dyDescent="0.3">
      <c r="A147" s="4">
        <v>2</v>
      </c>
      <c r="B147" s="2">
        <v>146</v>
      </c>
      <c r="C147" s="42">
        <v>1</v>
      </c>
      <c r="D147" s="42" t="s">
        <v>81</v>
      </c>
      <c r="E147" s="42" t="s">
        <v>40</v>
      </c>
      <c r="F147" s="15" t="s">
        <v>10</v>
      </c>
      <c r="G147" s="15" t="s">
        <v>52</v>
      </c>
      <c r="H147" s="68"/>
      <c r="I147" s="68" t="s">
        <v>150</v>
      </c>
      <c r="J147" s="37">
        <f>IF(Table1214[[#This Row],[modality]]=D146,1,0)</f>
        <v>0</v>
      </c>
      <c r="K147" s="68">
        <f>IF(Table1214[[#This Row],[stimulus]]=G148, 1, 0)</f>
        <v>0</v>
      </c>
      <c r="L147" s="68">
        <f>IF(E146="T",1,0)</f>
        <v>0</v>
      </c>
      <c r="M147" s="68">
        <f>IF(E146="F",1,0)</f>
        <v>0</v>
      </c>
    </row>
    <row r="148" spans="1:13" x14ac:dyDescent="0.3">
      <c r="A148" s="4">
        <v>2</v>
      </c>
      <c r="B148" s="2">
        <v>147</v>
      </c>
      <c r="C148" s="56">
        <v>2</v>
      </c>
      <c r="D148" s="56" t="s">
        <v>81</v>
      </c>
      <c r="E148" s="56" t="s">
        <v>29</v>
      </c>
      <c r="F148" s="60" t="s">
        <v>42</v>
      </c>
      <c r="G148" s="60"/>
      <c r="H148" s="78" t="s">
        <v>127</v>
      </c>
      <c r="I148" s="68"/>
      <c r="J148" s="37">
        <f>IF(Table1214[[#This Row],[modality]]=D147,1,0)</f>
        <v>1</v>
      </c>
      <c r="K148" s="68">
        <f>IF(Table1214[[#This Row],[stimulus]]=G149, 1, 0)</f>
        <v>0</v>
      </c>
      <c r="L148" s="68">
        <f>IF(E147="T",1,0)</f>
        <v>1</v>
      </c>
      <c r="M148" s="68">
        <f>IF(E147="F",1,0)</f>
        <v>0</v>
      </c>
    </row>
    <row r="149" spans="1:13" x14ac:dyDescent="0.3">
      <c r="A149" s="4">
        <v>2</v>
      </c>
      <c r="B149" s="2">
        <v>148</v>
      </c>
      <c r="C149" s="43">
        <v>1</v>
      </c>
      <c r="D149" s="43" t="s">
        <v>81</v>
      </c>
      <c r="E149" s="43" t="s">
        <v>0</v>
      </c>
      <c r="F149" s="4" t="s">
        <v>41</v>
      </c>
      <c r="G149" s="4" t="s">
        <v>57</v>
      </c>
      <c r="H149" s="68"/>
      <c r="I149" s="68" t="s">
        <v>151</v>
      </c>
      <c r="J149" s="37">
        <f>IF(Table1214[[#This Row],[modality]]=D148,1,0)</f>
        <v>1</v>
      </c>
      <c r="K149" s="68">
        <f>IF(Table1214[[#This Row],[stimulus]]=G150, 1, 0)</f>
        <v>1</v>
      </c>
      <c r="L149" s="68">
        <f>IF(E147="T",1,0)</f>
        <v>1</v>
      </c>
      <c r="M149" s="68">
        <f>IF(E147="F",1,0)</f>
        <v>0</v>
      </c>
    </row>
    <row r="150" spans="1:13" x14ac:dyDescent="0.3">
      <c r="A150" s="4">
        <v>2</v>
      </c>
      <c r="B150" s="2">
        <v>149</v>
      </c>
      <c r="C150" s="42">
        <v>2</v>
      </c>
      <c r="D150" s="42" t="s">
        <v>80</v>
      </c>
      <c r="E150" s="42" t="s">
        <v>40</v>
      </c>
      <c r="F150" s="15" t="s">
        <v>10</v>
      </c>
      <c r="G150" s="15" t="s">
        <v>57</v>
      </c>
      <c r="H150" s="68"/>
      <c r="I150" s="68" t="s">
        <v>150</v>
      </c>
      <c r="J150" s="37">
        <f>IF(Table1214[[#This Row],[modality]]=D149,1,0)</f>
        <v>0</v>
      </c>
      <c r="K150" s="68">
        <f>IF(Table1214[[#This Row],[stimulus]]=G151, 1, 0)</f>
        <v>0</v>
      </c>
      <c r="L150" s="68">
        <f t="shared" ref="L150:L160" si="12">IF(E149="T",1,0)</f>
        <v>0</v>
      </c>
      <c r="M150" s="68">
        <f t="shared" ref="M150:M160" si="13">IF(E149="F",1,0)</f>
        <v>0</v>
      </c>
    </row>
    <row r="151" spans="1:13" x14ac:dyDescent="0.3">
      <c r="A151" s="4">
        <v>2</v>
      </c>
      <c r="B151" s="2">
        <v>150</v>
      </c>
      <c r="C151" s="39">
        <v>1</v>
      </c>
      <c r="D151" s="39" t="s">
        <v>81</v>
      </c>
      <c r="E151" s="39" t="s">
        <v>29</v>
      </c>
      <c r="F151" s="4" t="s">
        <v>42</v>
      </c>
      <c r="G151" s="4" t="s">
        <v>48</v>
      </c>
      <c r="H151" s="68"/>
      <c r="I151" s="68"/>
      <c r="J151" s="37">
        <f>IF(Table1214[[#This Row],[modality]]=D150,1,0)</f>
        <v>0</v>
      </c>
      <c r="K151" s="68">
        <f>IF(Table1214[[#This Row],[stimulus]]=G152, 1, 0)</f>
        <v>0</v>
      </c>
      <c r="L151" s="68">
        <f t="shared" si="12"/>
        <v>1</v>
      </c>
      <c r="M151" s="68">
        <f t="shared" si="13"/>
        <v>0</v>
      </c>
    </row>
    <row r="152" spans="1:13" x14ac:dyDescent="0.3">
      <c r="A152" s="4">
        <v>2</v>
      </c>
      <c r="B152" s="2">
        <v>151</v>
      </c>
      <c r="C152" s="39">
        <v>2</v>
      </c>
      <c r="D152" s="39" t="s">
        <v>80</v>
      </c>
      <c r="E152" s="39" t="s">
        <v>29</v>
      </c>
      <c r="F152" s="15" t="s">
        <v>42</v>
      </c>
      <c r="G152" s="15" t="s">
        <v>44</v>
      </c>
      <c r="H152" s="68"/>
      <c r="I152" s="68" t="s">
        <v>151</v>
      </c>
      <c r="J152" s="37">
        <f>IF(Table1214[[#This Row],[modality]]=D151,1,0)</f>
        <v>0</v>
      </c>
      <c r="K152" s="68">
        <f>IF(Table1214[[#This Row],[stimulus]]=G153, 1, 0)</f>
        <v>0</v>
      </c>
      <c r="L152" s="68">
        <f t="shared" si="12"/>
        <v>0</v>
      </c>
      <c r="M152" s="68">
        <f t="shared" si="13"/>
        <v>1</v>
      </c>
    </row>
    <row r="153" spans="1:13" x14ac:dyDescent="0.3">
      <c r="A153" s="4">
        <v>2</v>
      </c>
      <c r="B153" s="2">
        <v>152</v>
      </c>
      <c r="C153" s="39">
        <v>1</v>
      </c>
      <c r="D153" s="39" t="s">
        <v>81</v>
      </c>
      <c r="E153" s="39" t="s">
        <v>29</v>
      </c>
      <c r="F153" s="4" t="s">
        <v>42</v>
      </c>
      <c r="G153" s="4" t="s">
        <v>47</v>
      </c>
      <c r="H153" s="68"/>
      <c r="I153" s="68" t="s">
        <v>151</v>
      </c>
      <c r="J153" s="37">
        <f>IF(Table1214[[#This Row],[modality]]=D152,1,0)</f>
        <v>0</v>
      </c>
      <c r="K153" s="68">
        <f>IF(Table1214[[#This Row],[stimulus]]=G154, 1, 0)</f>
        <v>0</v>
      </c>
      <c r="L153" s="68">
        <f t="shared" si="12"/>
        <v>0</v>
      </c>
      <c r="M153" s="68">
        <f t="shared" si="13"/>
        <v>1</v>
      </c>
    </row>
    <row r="154" spans="1:13" x14ac:dyDescent="0.3">
      <c r="A154" s="4">
        <v>2</v>
      </c>
      <c r="B154" s="2">
        <v>153</v>
      </c>
      <c r="C154" s="69">
        <v>2</v>
      </c>
      <c r="D154" s="69" t="s">
        <v>80</v>
      </c>
      <c r="E154" s="69" t="s">
        <v>0</v>
      </c>
      <c r="F154" s="27" t="s">
        <v>41</v>
      </c>
      <c r="G154" s="27" t="s">
        <v>55</v>
      </c>
      <c r="H154" s="68"/>
      <c r="I154" s="68" t="s">
        <v>151</v>
      </c>
      <c r="J154" s="37">
        <f>IF(Table1214[[#This Row],[modality]]=D153,1,0)</f>
        <v>0</v>
      </c>
      <c r="K154" s="68">
        <f>IF(Table1214[[#This Row],[stimulus]]=G155, 1, 0)</f>
        <v>1</v>
      </c>
      <c r="L154" s="68">
        <f t="shared" si="12"/>
        <v>0</v>
      </c>
      <c r="M154" s="68">
        <f t="shared" si="13"/>
        <v>1</v>
      </c>
    </row>
    <row r="155" spans="1:13" x14ac:dyDescent="0.3">
      <c r="A155" s="4">
        <v>2</v>
      </c>
      <c r="B155" s="2">
        <v>154</v>
      </c>
      <c r="C155" s="42">
        <v>2</v>
      </c>
      <c r="D155" s="42" t="s">
        <v>80</v>
      </c>
      <c r="E155" s="42" t="s">
        <v>40</v>
      </c>
      <c r="F155" s="15" t="s">
        <v>9</v>
      </c>
      <c r="G155" s="15" t="s">
        <v>55</v>
      </c>
      <c r="H155" s="68"/>
      <c r="I155" s="68" t="s">
        <v>150</v>
      </c>
      <c r="J155" s="37">
        <f>IF(Table1214[[#This Row],[modality]]=D154,1,0)</f>
        <v>1</v>
      </c>
      <c r="K155" s="68">
        <f>IF(Table1214[[#This Row],[stimulus]]=G156, 1, 0)</f>
        <v>0</v>
      </c>
      <c r="L155" s="68">
        <f t="shared" si="12"/>
        <v>0</v>
      </c>
      <c r="M155" s="68">
        <f t="shared" si="13"/>
        <v>0</v>
      </c>
    </row>
    <row r="156" spans="1:13" x14ac:dyDescent="0.3">
      <c r="A156" s="4">
        <v>2</v>
      </c>
      <c r="B156" s="2">
        <v>155</v>
      </c>
      <c r="C156" s="39">
        <v>1</v>
      </c>
      <c r="D156" s="39" t="s">
        <v>81</v>
      </c>
      <c r="E156" s="39" t="s">
        <v>29</v>
      </c>
      <c r="F156" s="27" t="s">
        <v>42</v>
      </c>
      <c r="G156" s="27" t="s">
        <v>43</v>
      </c>
      <c r="H156" s="68"/>
      <c r="I156" s="68"/>
      <c r="J156" s="37">
        <f>IF(Table1214[[#This Row],[modality]]=D155,1,0)</f>
        <v>0</v>
      </c>
      <c r="K156" s="68">
        <f>IF(Table1214[[#This Row],[stimulus]]=G157, 1, 0)</f>
        <v>0</v>
      </c>
      <c r="L156" s="68">
        <f t="shared" si="12"/>
        <v>1</v>
      </c>
      <c r="M156" s="68">
        <f t="shared" si="13"/>
        <v>0</v>
      </c>
    </row>
    <row r="157" spans="1:13" x14ac:dyDescent="0.3">
      <c r="A157" s="4">
        <v>2</v>
      </c>
      <c r="B157" s="2">
        <v>156</v>
      </c>
      <c r="C157" s="42">
        <v>2</v>
      </c>
      <c r="D157" s="42" t="s">
        <v>80</v>
      </c>
      <c r="E157" s="42" t="s">
        <v>0</v>
      </c>
      <c r="F157" s="15" t="s">
        <v>41</v>
      </c>
      <c r="G157" s="15" t="s">
        <v>51</v>
      </c>
      <c r="H157" s="68"/>
      <c r="I157" s="68" t="s">
        <v>151</v>
      </c>
      <c r="J157" s="37">
        <f>IF(Table1214[[#This Row],[modality]]=D156,1,0)</f>
        <v>0</v>
      </c>
      <c r="K157" s="68">
        <f>IF(Table1214[[#This Row],[stimulus]]=G158, 1, 0)</f>
        <v>1</v>
      </c>
      <c r="L157" s="68">
        <f t="shared" si="12"/>
        <v>0</v>
      </c>
      <c r="M157" s="68">
        <f t="shared" si="13"/>
        <v>1</v>
      </c>
    </row>
    <row r="158" spans="1:13" x14ac:dyDescent="0.3">
      <c r="A158" s="4">
        <v>2</v>
      </c>
      <c r="B158" s="2">
        <v>157</v>
      </c>
      <c r="C158" s="69">
        <v>2</v>
      </c>
      <c r="D158" s="69" t="s">
        <v>80</v>
      </c>
      <c r="E158" s="69" t="s">
        <v>40</v>
      </c>
      <c r="F158" s="27" t="s">
        <v>9</v>
      </c>
      <c r="G158" s="27" t="s">
        <v>51</v>
      </c>
      <c r="H158" s="68"/>
      <c r="I158" s="68" t="s">
        <v>150</v>
      </c>
      <c r="J158" s="37">
        <f>IF(Table1214[[#This Row],[modality]]=D157,1,0)</f>
        <v>1</v>
      </c>
      <c r="K158" s="68">
        <f>IF(Table1214[[#This Row],[stimulus]]=G159, 1, 0)</f>
        <v>0</v>
      </c>
      <c r="L158" s="68">
        <f t="shared" si="12"/>
        <v>0</v>
      </c>
      <c r="M158" s="68">
        <f t="shared" si="13"/>
        <v>0</v>
      </c>
    </row>
    <row r="159" spans="1:13" x14ac:dyDescent="0.3">
      <c r="A159" s="4">
        <v>2</v>
      </c>
      <c r="B159" s="2">
        <v>158</v>
      </c>
      <c r="C159" s="39">
        <v>1</v>
      </c>
      <c r="D159" s="39" t="s">
        <v>81</v>
      </c>
      <c r="E159" s="39" t="s">
        <v>29</v>
      </c>
      <c r="F159" s="15" t="s">
        <v>42</v>
      </c>
      <c r="G159" s="15" t="s">
        <v>50</v>
      </c>
      <c r="H159" s="68"/>
      <c r="I159" s="68"/>
      <c r="J159" s="37">
        <f>IF(Table1214[[#This Row],[modality]]=D158,1,0)</f>
        <v>0</v>
      </c>
      <c r="K159" s="68">
        <f>IF(Table1214[[#This Row],[stimulus]]=G161, 1, 0)</f>
        <v>0</v>
      </c>
      <c r="L159" s="68">
        <f t="shared" si="12"/>
        <v>1</v>
      </c>
      <c r="M159" s="68">
        <f t="shared" si="13"/>
        <v>0</v>
      </c>
    </row>
    <row r="160" spans="1:13" x14ac:dyDescent="0.3">
      <c r="A160" s="4">
        <v>2</v>
      </c>
      <c r="B160" s="2">
        <v>159</v>
      </c>
      <c r="C160" s="81">
        <v>1</v>
      </c>
      <c r="D160" s="81" t="s">
        <v>81</v>
      </c>
      <c r="E160" s="81" t="s">
        <v>29</v>
      </c>
      <c r="F160" s="82" t="s">
        <v>42</v>
      </c>
      <c r="G160" s="82" t="s">
        <v>46</v>
      </c>
      <c r="H160" s="68"/>
      <c r="I160" s="68" t="s">
        <v>151</v>
      </c>
      <c r="J160" s="37">
        <f>IF(Table1214[[#This Row],[modality]]=D159,1,0)</f>
        <v>1</v>
      </c>
      <c r="K160" s="68">
        <f>IF(Table1214[[#This Row],[stimulus]]=G161, 1, 0)</f>
        <v>0</v>
      </c>
      <c r="L160" s="68">
        <f t="shared" si="12"/>
        <v>0</v>
      </c>
      <c r="M160" s="68">
        <f t="shared" si="13"/>
        <v>1</v>
      </c>
    </row>
    <row r="161" spans="1:13" x14ac:dyDescent="0.3">
      <c r="A161" s="4">
        <v>2</v>
      </c>
      <c r="B161" s="2">
        <v>160</v>
      </c>
      <c r="C161" s="39">
        <v>2</v>
      </c>
      <c r="D161" s="39" t="s">
        <v>80</v>
      </c>
      <c r="E161" s="39" t="s">
        <v>29</v>
      </c>
      <c r="F161" s="15" t="s">
        <v>42</v>
      </c>
      <c r="G161" s="15" t="s">
        <v>49</v>
      </c>
      <c r="H161" s="68"/>
      <c r="I161" s="68" t="s">
        <v>151</v>
      </c>
      <c r="J161" s="37">
        <f>IF(Table1214[[#This Row],[modality]]=D159,1,0)</f>
        <v>0</v>
      </c>
      <c r="K161" s="68">
        <f>IF(Table1214[[#This Row],[stimulus]]=G162, 1, 0)</f>
        <v>0</v>
      </c>
      <c r="L161" s="68">
        <f>IF(E159="T",1,0)</f>
        <v>0</v>
      </c>
      <c r="M161" s="68">
        <f>IF(E159="F",1,0)</f>
        <v>1</v>
      </c>
    </row>
    <row r="162" spans="1:13" x14ac:dyDescent="0.3">
      <c r="A162" s="4">
        <v>2</v>
      </c>
      <c r="B162" s="2">
        <v>161</v>
      </c>
      <c r="C162" s="43">
        <v>2</v>
      </c>
      <c r="D162" s="43" t="s">
        <v>80</v>
      </c>
      <c r="E162" s="43" t="s">
        <v>0</v>
      </c>
      <c r="F162" s="4" t="s">
        <v>41</v>
      </c>
      <c r="G162" s="4" t="s">
        <v>53</v>
      </c>
      <c r="H162" s="68"/>
      <c r="I162" s="68" t="s">
        <v>151</v>
      </c>
      <c r="J162" s="37">
        <f>IF(Table1214[[#This Row],[modality]]=D161,1,0)</f>
        <v>1</v>
      </c>
      <c r="K162" s="68">
        <f>IF(Table1214[[#This Row],[stimulus]]=G163, 1, 0)</f>
        <v>1</v>
      </c>
      <c r="L162" s="68">
        <f t="shared" ref="L162:L174" si="14">IF(E161="T",1,0)</f>
        <v>0</v>
      </c>
      <c r="M162" s="68">
        <f t="shared" ref="M162:M174" si="15">IF(E161="F",1,0)</f>
        <v>1</v>
      </c>
    </row>
    <row r="163" spans="1:13" x14ac:dyDescent="0.3">
      <c r="A163" s="4">
        <v>2</v>
      </c>
      <c r="B163" s="2">
        <v>162</v>
      </c>
      <c r="C163" s="42">
        <v>1</v>
      </c>
      <c r="D163" s="42" t="s">
        <v>81</v>
      </c>
      <c r="E163" s="42" t="s">
        <v>40</v>
      </c>
      <c r="F163" s="15" t="s">
        <v>10</v>
      </c>
      <c r="G163" s="15" t="s">
        <v>53</v>
      </c>
      <c r="H163" s="68"/>
      <c r="I163" s="68" t="s">
        <v>150</v>
      </c>
      <c r="J163" s="37">
        <f>IF(Table1214[[#This Row],[modality]]=D162,1,0)</f>
        <v>0</v>
      </c>
      <c r="K163" s="68">
        <f>IF(Table1214[[#This Row],[stimulus]]=G164, 1, 0)</f>
        <v>0</v>
      </c>
      <c r="L163" s="68">
        <f t="shared" si="14"/>
        <v>0</v>
      </c>
      <c r="M163" s="68">
        <f t="shared" si="15"/>
        <v>0</v>
      </c>
    </row>
    <row r="164" spans="1:13" x14ac:dyDescent="0.3">
      <c r="A164" s="7">
        <v>3</v>
      </c>
      <c r="B164" s="2">
        <v>163</v>
      </c>
      <c r="C164" s="40">
        <v>1</v>
      </c>
      <c r="D164" s="40" t="s">
        <v>81</v>
      </c>
      <c r="E164" s="40" t="s">
        <v>29</v>
      </c>
      <c r="F164" s="15" t="s">
        <v>42</v>
      </c>
      <c r="G164" s="15" t="s">
        <v>54</v>
      </c>
      <c r="H164" s="68"/>
      <c r="I164" s="68"/>
      <c r="J164" s="37">
        <f>IF(Table1214[[#This Row],[modality]]=D163,1,0)</f>
        <v>1</v>
      </c>
      <c r="K164" s="68">
        <f>IF(Table1214[[#This Row],[stimulus]]=G165, 1, 0)</f>
        <v>0</v>
      </c>
      <c r="L164" s="68">
        <f t="shared" si="14"/>
        <v>1</v>
      </c>
      <c r="M164" s="68">
        <f t="shared" si="15"/>
        <v>0</v>
      </c>
    </row>
    <row r="165" spans="1:13" x14ac:dyDescent="0.3">
      <c r="A165" s="7">
        <v>3</v>
      </c>
      <c r="B165" s="2">
        <v>164</v>
      </c>
      <c r="C165" s="69">
        <v>1</v>
      </c>
      <c r="D165" s="69" t="s">
        <v>81</v>
      </c>
      <c r="E165" s="69" t="s">
        <v>0</v>
      </c>
      <c r="F165" s="27" t="s">
        <v>41</v>
      </c>
      <c r="G165" s="27" t="s">
        <v>64</v>
      </c>
      <c r="H165" s="68"/>
      <c r="I165" s="68" t="s">
        <v>151</v>
      </c>
      <c r="J165" s="37">
        <f>IF(Table1214[[#This Row],[modality]]=D164,1,0)</f>
        <v>1</v>
      </c>
      <c r="K165" s="68">
        <f>IF(Table1214[[#This Row],[stimulus]]=G166, 1, 0)</f>
        <v>1</v>
      </c>
      <c r="L165" s="68">
        <f t="shared" si="14"/>
        <v>0</v>
      </c>
      <c r="M165" s="68">
        <f t="shared" si="15"/>
        <v>1</v>
      </c>
    </row>
    <row r="166" spans="1:13" x14ac:dyDescent="0.3">
      <c r="A166" s="7">
        <v>3</v>
      </c>
      <c r="B166" s="2">
        <v>165</v>
      </c>
      <c r="C166" s="42">
        <v>2</v>
      </c>
      <c r="D166" s="42" t="s">
        <v>80</v>
      </c>
      <c r="E166" s="42" t="s">
        <v>40</v>
      </c>
      <c r="F166" s="15" t="s">
        <v>10</v>
      </c>
      <c r="G166" s="15" t="s">
        <v>64</v>
      </c>
      <c r="H166" s="68"/>
      <c r="I166" s="68" t="s">
        <v>150</v>
      </c>
      <c r="J166" s="37">
        <f>IF(Table1214[[#This Row],[modality]]=D165,1,0)</f>
        <v>0</v>
      </c>
      <c r="K166" s="68">
        <f>IF(Table1214[[#This Row],[stimulus]]=G167, 1, 0)</f>
        <v>0</v>
      </c>
      <c r="L166" s="68">
        <f t="shared" si="14"/>
        <v>0</v>
      </c>
      <c r="M166" s="68">
        <f t="shared" si="15"/>
        <v>0</v>
      </c>
    </row>
    <row r="167" spans="1:13" x14ac:dyDescent="0.3">
      <c r="A167" s="7">
        <v>3</v>
      </c>
      <c r="B167" s="2">
        <v>166</v>
      </c>
      <c r="C167" s="40">
        <v>2</v>
      </c>
      <c r="D167" s="40" t="s">
        <v>80</v>
      </c>
      <c r="E167" s="40" t="s">
        <v>29</v>
      </c>
      <c r="F167" s="27" t="s">
        <v>42</v>
      </c>
      <c r="G167" s="27" t="s">
        <v>56</v>
      </c>
      <c r="H167" s="68"/>
      <c r="I167" s="68"/>
      <c r="J167" s="37">
        <f>IF(Table1214[[#This Row],[modality]]=D166,1,0)</f>
        <v>1</v>
      </c>
      <c r="K167" s="68">
        <f>IF(Table1214[[#This Row],[stimulus]]=G168, 1, 0)</f>
        <v>0</v>
      </c>
      <c r="L167" s="68">
        <f t="shared" si="14"/>
        <v>1</v>
      </c>
      <c r="M167" s="68">
        <f t="shared" si="15"/>
        <v>0</v>
      </c>
    </row>
    <row r="168" spans="1:13" x14ac:dyDescent="0.3">
      <c r="A168" s="7">
        <v>3</v>
      </c>
      <c r="B168" s="2">
        <v>167</v>
      </c>
      <c r="C168" s="42">
        <v>2</v>
      </c>
      <c r="D168" s="42" t="s">
        <v>80</v>
      </c>
      <c r="E168" s="42" t="s">
        <v>0</v>
      </c>
      <c r="F168" s="15" t="s">
        <v>41</v>
      </c>
      <c r="G168" s="15" t="s">
        <v>62</v>
      </c>
      <c r="H168" s="68"/>
      <c r="I168" s="68" t="s">
        <v>151</v>
      </c>
      <c r="J168" s="37">
        <f>IF(Table1214[[#This Row],[modality]]=D167,1,0)</f>
        <v>1</v>
      </c>
      <c r="K168" s="68">
        <f>IF(Table1214[[#This Row],[stimulus]]=G169, 1, 0)</f>
        <v>1</v>
      </c>
      <c r="L168" s="68">
        <f t="shared" si="14"/>
        <v>0</v>
      </c>
      <c r="M168" s="68">
        <f t="shared" si="15"/>
        <v>1</v>
      </c>
    </row>
    <row r="169" spans="1:13" x14ac:dyDescent="0.3">
      <c r="A169" s="7">
        <v>3</v>
      </c>
      <c r="B169" s="2">
        <v>168</v>
      </c>
      <c r="C169" s="69">
        <v>1</v>
      </c>
      <c r="D169" s="69" t="s">
        <v>81</v>
      </c>
      <c r="E169" s="69" t="s">
        <v>40</v>
      </c>
      <c r="F169" s="27" t="s">
        <v>10</v>
      </c>
      <c r="G169" s="27" t="s">
        <v>62</v>
      </c>
      <c r="H169" s="68"/>
      <c r="I169" s="68" t="s">
        <v>150</v>
      </c>
      <c r="J169" s="37">
        <f>IF(Table1214[[#This Row],[modality]]=D168,1,0)</f>
        <v>0</v>
      </c>
      <c r="K169" s="68">
        <f>IF(Table1214[[#This Row],[stimulus]]=G170, 1, 0)</f>
        <v>0</v>
      </c>
      <c r="L169" s="68">
        <f t="shared" si="14"/>
        <v>0</v>
      </c>
      <c r="M169" s="68">
        <f t="shared" si="15"/>
        <v>0</v>
      </c>
    </row>
    <row r="170" spans="1:13" x14ac:dyDescent="0.3">
      <c r="A170" s="4">
        <v>3</v>
      </c>
      <c r="B170" s="2">
        <v>169</v>
      </c>
      <c r="C170" s="63">
        <v>1</v>
      </c>
      <c r="D170" s="63" t="s">
        <v>81</v>
      </c>
      <c r="E170" s="63" t="s">
        <v>29</v>
      </c>
      <c r="F170" s="64" t="s">
        <v>42</v>
      </c>
      <c r="G170" s="64"/>
      <c r="H170" s="78" t="s">
        <v>127</v>
      </c>
      <c r="I170" s="78"/>
      <c r="J170" s="37">
        <f>IF(Table1214[[#This Row],[modality]]=D169,1,0)</f>
        <v>1</v>
      </c>
      <c r="K170" s="68">
        <f>IF(Table1214[[#This Row],[stimulus]]=G171, 1, 0)</f>
        <v>0</v>
      </c>
      <c r="L170" s="68">
        <f t="shared" si="14"/>
        <v>1</v>
      </c>
      <c r="M170" s="68">
        <f t="shared" si="15"/>
        <v>0</v>
      </c>
    </row>
    <row r="171" spans="1:13" x14ac:dyDescent="0.3">
      <c r="A171" s="7">
        <v>3</v>
      </c>
      <c r="B171" s="2">
        <v>170</v>
      </c>
      <c r="C171" s="42">
        <v>1</v>
      </c>
      <c r="D171" s="42" t="s">
        <v>81</v>
      </c>
      <c r="E171" s="42" t="s">
        <v>0</v>
      </c>
      <c r="F171" s="15" t="s">
        <v>41</v>
      </c>
      <c r="G171" s="15" t="s">
        <v>66</v>
      </c>
      <c r="H171" s="68"/>
      <c r="I171" s="68" t="s">
        <v>151</v>
      </c>
      <c r="J171" s="37">
        <f>IF(Table1214[[#This Row],[modality]]=D170,1,0)</f>
        <v>1</v>
      </c>
      <c r="K171" s="68">
        <f>IF(Table1214[[#This Row],[stimulus]]=G172, 1, 0)</f>
        <v>1</v>
      </c>
      <c r="L171" s="68">
        <f t="shared" si="14"/>
        <v>0</v>
      </c>
      <c r="M171" s="68">
        <f t="shared" si="15"/>
        <v>1</v>
      </c>
    </row>
    <row r="172" spans="1:13" x14ac:dyDescent="0.3">
      <c r="A172" s="7">
        <v>3</v>
      </c>
      <c r="B172" s="2">
        <v>171</v>
      </c>
      <c r="C172" s="43">
        <v>2</v>
      </c>
      <c r="D172" s="43" t="s">
        <v>80</v>
      </c>
      <c r="E172" s="43" t="s">
        <v>40</v>
      </c>
      <c r="F172" s="4" t="s">
        <v>10</v>
      </c>
      <c r="G172" s="4" t="s">
        <v>66</v>
      </c>
      <c r="H172" s="68"/>
      <c r="I172" s="68" t="s">
        <v>150</v>
      </c>
      <c r="J172" s="37">
        <f>IF(Table1214[[#This Row],[modality]]=D171,1,0)</f>
        <v>0</v>
      </c>
      <c r="K172" s="68">
        <f>IF(Table1214[[#This Row],[stimulus]]=G173, 1, 0)</f>
        <v>0</v>
      </c>
      <c r="L172" s="68">
        <f t="shared" si="14"/>
        <v>0</v>
      </c>
      <c r="M172" s="68">
        <f t="shared" si="15"/>
        <v>0</v>
      </c>
    </row>
    <row r="173" spans="1:13" x14ac:dyDescent="0.3">
      <c r="A173" s="7">
        <v>3</v>
      </c>
      <c r="B173" s="2">
        <v>172</v>
      </c>
      <c r="C173" s="40">
        <v>1</v>
      </c>
      <c r="D173" s="40" t="s">
        <v>81</v>
      </c>
      <c r="E173" s="40" t="s">
        <v>29</v>
      </c>
      <c r="F173" s="15" t="s">
        <v>42</v>
      </c>
      <c r="G173" s="15" t="s">
        <v>58</v>
      </c>
      <c r="H173" s="68"/>
      <c r="I173" s="68"/>
      <c r="J173" s="37">
        <f>IF(Table1214[[#This Row],[modality]]=D172,1,0)</f>
        <v>0</v>
      </c>
      <c r="K173" s="68">
        <f>IF(Table1214[[#This Row],[stimulus]]=G175, 1, 0)</f>
        <v>0</v>
      </c>
      <c r="L173" s="68">
        <f t="shared" si="14"/>
        <v>1</v>
      </c>
      <c r="M173" s="68">
        <f t="shared" si="15"/>
        <v>0</v>
      </c>
    </row>
    <row r="174" spans="1:13" x14ac:dyDescent="0.3">
      <c r="A174" s="4">
        <v>3</v>
      </c>
      <c r="B174" s="2">
        <v>173</v>
      </c>
      <c r="C174" s="81">
        <v>1</v>
      </c>
      <c r="D174" s="81" t="s">
        <v>81</v>
      </c>
      <c r="E174" s="81" t="s">
        <v>29</v>
      </c>
      <c r="F174" s="82" t="s">
        <v>42</v>
      </c>
      <c r="G174" s="82" t="s">
        <v>55</v>
      </c>
      <c r="H174" s="68"/>
      <c r="I174" s="68" t="s">
        <v>151</v>
      </c>
      <c r="J174" s="37">
        <f>IF(Table1214[[#This Row],[modality]]=D173,1,0)</f>
        <v>1</v>
      </c>
      <c r="K174" s="68">
        <f>IF(Table1214[[#This Row],[stimulus]]=G175, 1, 0)</f>
        <v>0</v>
      </c>
      <c r="L174" s="68">
        <f t="shared" si="14"/>
        <v>0</v>
      </c>
      <c r="M174" s="68">
        <f t="shared" si="15"/>
        <v>1</v>
      </c>
    </row>
    <row r="175" spans="1:13" x14ac:dyDescent="0.3">
      <c r="A175" s="7">
        <v>3</v>
      </c>
      <c r="B175" s="2">
        <v>174</v>
      </c>
      <c r="C175" s="43">
        <v>2</v>
      </c>
      <c r="D175" s="43" t="s">
        <v>80</v>
      </c>
      <c r="E175" s="43" t="s">
        <v>0</v>
      </c>
      <c r="F175" s="4" t="s">
        <v>41</v>
      </c>
      <c r="G175" s="4" t="s">
        <v>65</v>
      </c>
      <c r="H175" s="68"/>
      <c r="I175" s="68" t="s">
        <v>151</v>
      </c>
      <c r="J175" s="37">
        <f>IF(Table1214[[#This Row],[modality]]=D173,1,0)</f>
        <v>0</v>
      </c>
      <c r="K175" s="68">
        <f>IF(Table1214[[#This Row],[stimulus]]=G176, 1, 0)</f>
        <v>1</v>
      </c>
      <c r="L175" s="68">
        <f>IF(E173="T",1,0)</f>
        <v>0</v>
      </c>
      <c r="M175" s="68">
        <f>IF(E173="F",1,0)</f>
        <v>1</v>
      </c>
    </row>
    <row r="176" spans="1:13" x14ac:dyDescent="0.3">
      <c r="A176" s="7">
        <v>3</v>
      </c>
      <c r="B176" s="2">
        <v>175</v>
      </c>
      <c r="C176" s="42">
        <v>2</v>
      </c>
      <c r="D176" s="42" t="s">
        <v>80</v>
      </c>
      <c r="E176" s="42" t="s">
        <v>40</v>
      </c>
      <c r="F176" s="15" t="s">
        <v>9</v>
      </c>
      <c r="G176" s="15" t="s">
        <v>65</v>
      </c>
      <c r="H176" s="68"/>
      <c r="I176" s="68" t="s">
        <v>150</v>
      </c>
      <c r="J176" s="37">
        <f>IF(Table1214[[#This Row],[modality]]=D175,1,0)</f>
        <v>1</v>
      </c>
      <c r="K176" s="68">
        <f>IF(Table1214[[#This Row],[stimulus]]=G177, 1, 0)</f>
        <v>0</v>
      </c>
      <c r="L176" s="68">
        <f t="shared" ref="L176:L205" si="16">IF(E175="T",1,0)</f>
        <v>0</v>
      </c>
      <c r="M176" s="68">
        <f t="shared" ref="M176:M205" si="17">IF(E175="F",1,0)</f>
        <v>0</v>
      </c>
    </row>
    <row r="177" spans="1:13" x14ac:dyDescent="0.3">
      <c r="A177" s="7">
        <v>3</v>
      </c>
      <c r="B177" s="2">
        <v>176</v>
      </c>
      <c r="C177" s="40">
        <v>2</v>
      </c>
      <c r="D177" s="40" t="s">
        <v>80</v>
      </c>
      <c r="E177" s="40" t="s">
        <v>29</v>
      </c>
      <c r="F177" s="4" t="s">
        <v>42</v>
      </c>
      <c r="G177" s="4" t="s">
        <v>52</v>
      </c>
      <c r="H177" s="68"/>
      <c r="I177" s="68"/>
      <c r="J177" s="37">
        <f>IF(Table1214[[#This Row],[modality]]=D176,1,0)</f>
        <v>1</v>
      </c>
      <c r="K177" s="68">
        <f>IF(Table1214[[#This Row],[stimulus]]=G178, 1, 0)</f>
        <v>0</v>
      </c>
      <c r="L177" s="68">
        <f t="shared" si="16"/>
        <v>1</v>
      </c>
      <c r="M177" s="68">
        <f t="shared" si="17"/>
        <v>0</v>
      </c>
    </row>
    <row r="178" spans="1:13" x14ac:dyDescent="0.3">
      <c r="A178" s="7">
        <v>3</v>
      </c>
      <c r="B178" s="2">
        <v>177</v>
      </c>
      <c r="C178" s="40">
        <v>1</v>
      </c>
      <c r="D178" s="40" t="s">
        <v>81</v>
      </c>
      <c r="E178" s="40" t="s">
        <v>29</v>
      </c>
      <c r="F178" s="15" t="s">
        <v>42</v>
      </c>
      <c r="G178" s="15" t="s">
        <v>57</v>
      </c>
      <c r="H178" s="68"/>
      <c r="I178" s="68" t="s">
        <v>151</v>
      </c>
      <c r="J178" s="37">
        <f>IF(Table1214[[#This Row],[modality]]=D177,1,0)</f>
        <v>0</v>
      </c>
      <c r="K178" s="68">
        <f>IF(Table1214[[#This Row],[stimulus]]=G179, 1, 0)</f>
        <v>0</v>
      </c>
      <c r="L178" s="68">
        <f t="shared" si="16"/>
        <v>0</v>
      </c>
      <c r="M178" s="68">
        <f t="shared" si="17"/>
        <v>1</v>
      </c>
    </row>
    <row r="179" spans="1:13" x14ac:dyDescent="0.3">
      <c r="A179" s="7">
        <v>3</v>
      </c>
      <c r="B179" s="2">
        <v>178</v>
      </c>
      <c r="C179" s="43">
        <v>2</v>
      </c>
      <c r="D179" s="43" t="s">
        <v>80</v>
      </c>
      <c r="E179" s="43" t="s">
        <v>0</v>
      </c>
      <c r="F179" s="4" t="s">
        <v>41</v>
      </c>
      <c r="G179" s="4" t="s">
        <v>59</v>
      </c>
      <c r="H179" s="68"/>
      <c r="I179" s="68" t="s">
        <v>151</v>
      </c>
      <c r="J179" s="37">
        <f>IF(Table1214[[#This Row],[modality]]=D178,1,0)</f>
        <v>0</v>
      </c>
      <c r="K179" s="68">
        <f>IF(Table1214[[#This Row],[stimulus]]=G180, 1, 0)</f>
        <v>1</v>
      </c>
      <c r="L179" s="68">
        <f t="shared" si="16"/>
        <v>0</v>
      </c>
      <c r="M179" s="68">
        <f t="shared" si="17"/>
        <v>1</v>
      </c>
    </row>
    <row r="180" spans="1:13" x14ac:dyDescent="0.3">
      <c r="A180" s="7">
        <v>3</v>
      </c>
      <c r="B180" s="2">
        <v>179</v>
      </c>
      <c r="C180" s="42">
        <v>2</v>
      </c>
      <c r="D180" s="42" t="s">
        <v>80</v>
      </c>
      <c r="E180" s="42" t="s">
        <v>40</v>
      </c>
      <c r="F180" s="15" t="s">
        <v>9</v>
      </c>
      <c r="G180" s="15" t="s">
        <v>59</v>
      </c>
      <c r="H180" s="68"/>
      <c r="I180" s="68" t="s">
        <v>150</v>
      </c>
      <c r="J180" s="37">
        <f>IF(Table1214[[#This Row],[modality]]=D179,1,0)</f>
        <v>1</v>
      </c>
      <c r="K180" s="68">
        <f>IF(Table1214[[#This Row],[stimulus]]=G181, 1, 0)</f>
        <v>0</v>
      </c>
      <c r="L180" s="68">
        <f t="shared" si="16"/>
        <v>0</v>
      </c>
      <c r="M180" s="68">
        <f t="shared" si="17"/>
        <v>0</v>
      </c>
    </row>
    <row r="181" spans="1:13" x14ac:dyDescent="0.3">
      <c r="A181" s="7">
        <v>3</v>
      </c>
      <c r="B181" s="2">
        <v>180</v>
      </c>
      <c r="C181" s="43">
        <v>2</v>
      </c>
      <c r="D181" s="43" t="s">
        <v>80</v>
      </c>
      <c r="E181" s="43" t="s">
        <v>0</v>
      </c>
      <c r="F181" s="4" t="s">
        <v>41</v>
      </c>
      <c r="G181" s="4" t="s">
        <v>61</v>
      </c>
      <c r="H181" s="68"/>
      <c r="I181" s="68" t="s">
        <v>151</v>
      </c>
      <c r="J181" s="37">
        <f>IF(Table1214[[#This Row],[modality]]=D180,1,0)</f>
        <v>1</v>
      </c>
      <c r="K181" s="68">
        <f>IF(Table1214[[#This Row],[stimulus]]=G182, 1, 0)</f>
        <v>1</v>
      </c>
      <c r="L181" s="68">
        <f t="shared" si="16"/>
        <v>1</v>
      </c>
      <c r="M181" s="68">
        <f t="shared" si="17"/>
        <v>0</v>
      </c>
    </row>
    <row r="182" spans="1:13" x14ac:dyDescent="0.3">
      <c r="A182" s="7">
        <v>3</v>
      </c>
      <c r="B182" s="2">
        <v>181</v>
      </c>
      <c r="C182" s="42">
        <v>1</v>
      </c>
      <c r="D182" s="42" t="s">
        <v>81</v>
      </c>
      <c r="E182" s="42" t="s">
        <v>40</v>
      </c>
      <c r="F182" s="15" t="s">
        <v>10</v>
      </c>
      <c r="G182" s="15" t="s">
        <v>61</v>
      </c>
      <c r="H182" s="68"/>
      <c r="I182" s="68" t="s">
        <v>150</v>
      </c>
      <c r="J182" s="37">
        <f>IF(Table1214[[#This Row],[modality]]=D181,1,0)</f>
        <v>0</v>
      </c>
      <c r="K182" s="68">
        <f>IF(Table1214[[#This Row],[stimulus]]=G183, 1, 0)</f>
        <v>0</v>
      </c>
      <c r="L182" s="68">
        <f t="shared" si="16"/>
        <v>0</v>
      </c>
      <c r="M182" s="68">
        <f t="shared" si="17"/>
        <v>0</v>
      </c>
    </row>
    <row r="183" spans="1:13" x14ac:dyDescent="0.3">
      <c r="A183" s="7">
        <v>3</v>
      </c>
      <c r="B183" s="2">
        <v>182</v>
      </c>
      <c r="C183" s="40">
        <v>2</v>
      </c>
      <c r="D183" s="40" t="s">
        <v>80</v>
      </c>
      <c r="E183" s="40" t="s">
        <v>29</v>
      </c>
      <c r="F183" s="4" t="s">
        <v>42</v>
      </c>
      <c r="G183" s="4" t="s">
        <v>55</v>
      </c>
      <c r="H183" s="68"/>
      <c r="I183" s="68"/>
      <c r="J183" s="37">
        <f>IF(Table1214[[#This Row],[modality]]=D182,1,0)</f>
        <v>0</v>
      </c>
      <c r="K183" s="68">
        <f>IF(Table1214[[#This Row],[stimulus]]=G184, 1, 0)</f>
        <v>0</v>
      </c>
      <c r="L183" s="68">
        <f t="shared" si="16"/>
        <v>1</v>
      </c>
      <c r="M183" s="68">
        <f t="shared" si="17"/>
        <v>0</v>
      </c>
    </row>
    <row r="184" spans="1:13" x14ac:dyDescent="0.3">
      <c r="A184" s="4">
        <v>3</v>
      </c>
      <c r="B184" s="2">
        <v>183</v>
      </c>
      <c r="C184" s="63">
        <v>1</v>
      </c>
      <c r="D184" s="63" t="s">
        <v>81</v>
      </c>
      <c r="E184" s="63" t="s">
        <v>29</v>
      </c>
      <c r="F184" s="64" t="s">
        <v>42</v>
      </c>
      <c r="G184" s="64"/>
      <c r="H184" s="78" t="s">
        <v>127</v>
      </c>
      <c r="I184" s="90" t="s">
        <v>151</v>
      </c>
      <c r="J184" s="37">
        <f>IF(Table1214[[#This Row],[modality]]=D183,1,0)</f>
        <v>0</v>
      </c>
      <c r="K184" s="68">
        <f>IF(Table1214[[#This Row],[stimulus]]=G185, 1, 0)</f>
        <v>0</v>
      </c>
      <c r="L184" s="68">
        <f t="shared" si="16"/>
        <v>0</v>
      </c>
      <c r="M184" s="68">
        <f t="shared" si="17"/>
        <v>1</v>
      </c>
    </row>
    <row r="185" spans="1:13" x14ac:dyDescent="0.3">
      <c r="A185" s="7">
        <v>3</v>
      </c>
      <c r="B185" s="2">
        <v>184</v>
      </c>
      <c r="C185" s="42">
        <v>1</v>
      </c>
      <c r="D185" s="42" t="s">
        <v>81</v>
      </c>
      <c r="E185" s="42" t="s">
        <v>0</v>
      </c>
      <c r="F185" s="15" t="s">
        <v>41</v>
      </c>
      <c r="G185" s="15" t="s">
        <v>63</v>
      </c>
      <c r="H185" s="68"/>
      <c r="I185" s="68" t="s">
        <v>151</v>
      </c>
      <c r="J185" s="37">
        <f>IF(Table1214[[#This Row],[modality]]=D184,1,0)</f>
        <v>1</v>
      </c>
      <c r="K185" s="68">
        <f>IF(Table1214[[#This Row],[stimulus]]=G186, 1, 0)</f>
        <v>1</v>
      </c>
      <c r="L185" s="68">
        <f t="shared" si="16"/>
        <v>0</v>
      </c>
      <c r="M185" s="68">
        <f t="shared" si="17"/>
        <v>1</v>
      </c>
    </row>
    <row r="186" spans="1:13" x14ac:dyDescent="0.3">
      <c r="A186" s="7">
        <v>3</v>
      </c>
      <c r="B186" s="2">
        <v>185</v>
      </c>
      <c r="C186" s="69">
        <v>1</v>
      </c>
      <c r="D186" s="69" t="s">
        <v>81</v>
      </c>
      <c r="E186" s="69" t="s">
        <v>40</v>
      </c>
      <c r="F186" s="27" t="s">
        <v>9</v>
      </c>
      <c r="G186" s="27" t="s">
        <v>63</v>
      </c>
      <c r="H186" s="68"/>
      <c r="I186" s="68" t="s">
        <v>150</v>
      </c>
      <c r="J186" s="37">
        <f>IF(Table1214[[#This Row],[modality]]=D185,1,0)</f>
        <v>1</v>
      </c>
      <c r="K186" s="68">
        <f>IF(Table1214[[#This Row],[stimulus]]=G187, 1, 0)</f>
        <v>0</v>
      </c>
      <c r="L186" s="68">
        <f t="shared" si="16"/>
        <v>0</v>
      </c>
      <c r="M186" s="68">
        <f t="shared" si="17"/>
        <v>0</v>
      </c>
    </row>
    <row r="187" spans="1:13" x14ac:dyDescent="0.3">
      <c r="A187" s="7">
        <v>3</v>
      </c>
      <c r="B187" s="2">
        <v>186</v>
      </c>
      <c r="C187" s="40">
        <v>2</v>
      </c>
      <c r="D187" s="40" t="s">
        <v>80</v>
      </c>
      <c r="E187" s="40" t="s">
        <v>29</v>
      </c>
      <c r="F187" s="15" t="s">
        <v>42</v>
      </c>
      <c r="G187" s="15" t="s">
        <v>51</v>
      </c>
      <c r="H187" s="68"/>
      <c r="I187" s="68"/>
      <c r="J187" s="37">
        <f>IF(Table1214[[#This Row],[modality]]=D186,1,0)</f>
        <v>0</v>
      </c>
      <c r="K187" s="68">
        <f>IF(Table1214[[#This Row],[stimulus]]=G188, 1, 0)</f>
        <v>0</v>
      </c>
      <c r="L187" s="68">
        <f t="shared" si="16"/>
        <v>1</v>
      </c>
      <c r="M187" s="68">
        <f t="shared" si="17"/>
        <v>0</v>
      </c>
    </row>
    <row r="188" spans="1:13" x14ac:dyDescent="0.3">
      <c r="A188" s="7">
        <v>3</v>
      </c>
      <c r="B188" s="2">
        <v>187</v>
      </c>
      <c r="C188" s="69">
        <v>1</v>
      </c>
      <c r="D188" s="69" t="s">
        <v>81</v>
      </c>
      <c r="E188" s="69" t="s">
        <v>0</v>
      </c>
      <c r="F188" s="27" t="s">
        <v>41</v>
      </c>
      <c r="G188" s="27" t="s">
        <v>60</v>
      </c>
      <c r="H188" s="68"/>
      <c r="I188" s="68" t="s">
        <v>151</v>
      </c>
      <c r="J188" s="37">
        <f>IF(Table1214[[#This Row],[modality]]=D187,1,0)</f>
        <v>0</v>
      </c>
      <c r="K188" s="68">
        <f>IF(Table1214[[#This Row],[stimulus]]=G189, 1, 0)</f>
        <v>1</v>
      </c>
      <c r="L188" s="68">
        <f t="shared" si="16"/>
        <v>0</v>
      </c>
      <c r="M188" s="68">
        <f t="shared" si="17"/>
        <v>1</v>
      </c>
    </row>
    <row r="189" spans="1:13" x14ac:dyDescent="0.3">
      <c r="A189" s="7">
        <v>3</v>
      </c>
      <c r="B189" s="2">
        <v>188</v>
      </c>
      <c r="C189" s="42">
        <v>1</v>
      </c>
      <c r="D189" s="42" t="s">
        <v>81</v>
      </c>
      <c r="E189" s="42" t="s">
        <v>40</v>
      </c>
      <c r="F189" s="15" t="s">
        <v>9</v>
      </c>
      <c r="G189" s="15" t="s">
        <v>60</v>
      </c>
      <c r="H189" s="68"/>
      <c r="I189" s="68" t="s">
        <v>150</v>
      </c>
      <c r="J189" s="37">
        <f>IF(Table1214[[#This Row],[modality]]=D188,1,0)</f>
        <v>1</v>
      </c>
      <c r="K189" s="68">
        <f>IF(Table1214[[#This Row],[stimulus]]=G190, 1, 0)</f>
        <v>0</v>
      </c>
      <c r="L189" s="68">
        <f t="shared" si="16"/>
        <v>0</v>
      </c>
      <c r="M189" s="68">
        <f t="shared" si="17"/>
        <v>0</v>
      </c>
    </row>
    <row r="190" spans="1:13" x14ac:dyDescent="0.3">
      <c r="A190" s="7">
        <v>3</v>
      </c>
      <c r="B190" s="2">
        <v>189</v>
      </c>
      <c r="C190" s="40">
        <v>1</v>
      </c>
      <c r="D190" s="40" t="s">
        <v>81</v>
      </c>
      <c r="E190" s="40" t="s">
        <v>29</v>
      </c>
      <c r="F190" s="27" t="s">
        <v>42</v>
      </c>
      <c r="G190" s="27" t="s">
        <v>53</v>
      </c>
      <c r="H190" s="68"/>
      <c r="I190" s="68"/>
      <c r="J190" s="37">
        <f>IF(Table1214[[#This Row],[modality]]=D189,1,0)</f>
        <v>1</v>
      </c>
      <c r="K190" s="68">
        <f>IF(Table1214[[#This Row],[stimulus]]=G191, 1, 0)</f>
        <v>0</v>
      </c>
      <c r="L190" s="68">
        <f t="shared" si="16"/>
        <v>1</v>
      </c>
      <c r="M190" s="68">
        <f t="shared" si="17"/>
        <v>0</v>
      </c>
    </row>
    <row r="191" spans="1:13" x14ac:dyDescent="0.3">
      <c r="A191" s="4">
        <v>4</v>
      </c>
      <c r="B191" s="2">
        <v>190</v>
      </c>
      <c r="C191" s="41">
        <v>2</v>
      </c>
      <c r="D191" s="41" t="s">
        <v>80</v>
      </c>
      <c r="E191" s="41" t="s">
        <v>29</v>
      </c>
      <c r="F191" s="4" t="s">
        <v>42</v>
      </c>
      <c r="G191" s="4" t="s">
        <v>64</v>
      </c>
      <c r="H191" s="68"/>
      <c r="I191" s="68" t="s">
        <v>151</v>
      </c>
      <c r="J191" s="37">
        <f>IF(Table1214[[#This Row],[modality]]=D190,1,0)</f>
        <v>0</v>
      </c>
      <c r="K191" s="68">
        <f>IF(Table1214[[#This Row],[stimulus]]=G192, 1, 0)</f>
        <v>0</v>
      </c>
      <c r="L191" s="68">
        <f t="shared" si="16"/>
        <v>0</v>
      </c>
      <c r="M191" s="68">
        <f t="shared" si="17"/>
        <v>1</v>
      </c>
    </row>
    <row r="192" spans="1:13" x14ac:dyDescent="0.3">
      <c r="A192" s="4">
        <v>4</v>
      </c>
      <c r="B192" s="2">
        <v>191</v>
      </c>
      <c r="C192" s="42">
        <v>1</v>
      </c>
      <c r="D192" s="42" t="s">
        <v>81</v>
      </c>
      <c r="E192" s="42" t="s">
        <v>0</v>
      </c>
      <c r="F192" s="15" t="s">
        <v>41</v>
      </c>
      <c r="G192" s="15" t="s">
        <v>72</v>
      </c>
      <c r="H192" s="68"/>
      <c r="I192" s="68" t="s">
        <v>151</v>
      </c>
      <c r="J192" s="37">
        <f>IF(Table1214[[#This Row],[modality]]=D191,1,0)</f>
        <v>0</v>
      </c>
      <c r="K192" s="68">
        <f>IF(Table1214[[#This Row],[stimulus]]=G193, 1, 0)</f>
        <v>1</v>
      </c>
      <c r="L192" s="68">
        <f t="shared" si="16"/>
        <v>0</v>
      </c>
      <c r="M192" s="68">
        <f t="shared" si="17"/>
        <v>1</v>
      </c>
    </row>
    <row r="193" spans="1:13" x14ac:dyDescent="0.3">
      <c r="A193" s="4">
        <v>4</v>
      </c>
      <c r="B193" s="2">
        <v>192</v>
      </c>
      <c r="C193" s="43">
        <v>1</v>
      </c>
      <c r="D193" s="43" t="s">
        <v>81</v>
      </c>
      <c r="E193" s="43" t="s">
        <v>40</v>
      </c>
      <c r="F193" s="4" t="s">
        <v>9</v>
      </c>
      <c r="G193" s="4" t="s">
        <v>72</v>
      </c>
      <c r="H193" s="68"/>
      <c r="I193" s="68" t="s">
        <v>150</v>
      </c>
      <c r="J193" s="37">
        <f>IF(Table1214[[#This Row],[modality]]=D192,1,0)</f>
        <v>1</v>
      </c>
      <c r="K193" s="68">
        <f>IF(Table1214[[#This Row],[stimulus]]=G194, 1, 0)</f>
        <v>0</v>
      </c>
      <c r="L193" s="68">
        <f t="shared" si="16"/>
        <v>0</v>
      </c>
      <c r="M193" s="68">
        <f t="shared" si="17"/>
        <v>0</v>
      </c>
    </row>
    <row r="194" spans="1:13" x14ac:dyDescent="0.3">
      <c r="A194" s="4">
        <v>4</v>
      </c>
      <c r="B194" s="2">
        <v>193</v>
      </c>
      <c r="C194" s="42">
        <v>1</v>
      </c>
      <c r="D194" s="42" t="s">
        <v>81</v>
      </c>
      <c r="E194" s="42" t="s">
        <v>0</v>
      </c>
      <c r="F194" s="15" t="s">
        <v>41</v>
      </c>
      <c r="G194" s="15" t="s">
        <v>67</v>
      </c>
      <c r="H194" s="68"/>
      <c r="I194" s="68" t="s">
        <v>151</v>
      </c>
      <c r="J194" s="37">
        <f>IF(Table1214[[#This Row],[modality]]=D193,1,0)</f>
        <v>1</v>
      </c>
      <c r="K194" s="68">
        <f>IF(Table1214[[#This Row],[stimulus]]=G195, 1, 0)</f>
        <v>1</v>
      </c>
      <c r="L194" s="68">
        <f t="shared" si="16"/>
        <v>1</v>
      </c>
      <c r="M194" s="68">
        <f t="shared" si="17"/>
        <v>0</v>
      </c>
    </row>
    <row r="195" spans="1:13" x14ac:dyDescent="0.3">
      <c r="A195" s="4">
        <v>4</v>
      </c>
      <c r="B195" s="2">
        <v>194</v>
      </c>
      <c r="C195" s="43">
        <v>2</v>
      </c>
      <c r="D195" s="43" t="s">
        <v>80</v>
      </c>
      <c r="E195" s="43" t="s">
        <v>40</v>
      </c>
      <c r="F195" s="4" t="s">
        <v>10</v>
      </c>
      <c r="G195" s="4" t="s">
        <v>67</v>
      </c>
      <c r="H195" s="68"/>
      <c r="I195" s="68" t="s">
        <v>150</v>
      </c>
      <c r="J195" s="37">
        <f>IF(Table1214[[#This Row],[modality]]=D194,1,0)</f>
        <v>0</v>
      </c>
      <c r="K195" s="68">
        <f>IF(Table1214[[#This Row],[stimulus]]=G196, 1, 0)</f>
        <v>0</v>
      </c>
      <c r="L195" s="68">
        <f t="shared" si="16"/>
        <v>0</v>
      </c>
      <c r="M195" s="68">
        <f t="shared" si="17"/>
        <v>0</v>
      </c>
    </row>
    <row r="196" spans="1:13" x14ac:dyDescent="0.3">
      <c r="A196" s="4">
        <v>4</v>
      </c>
      <c r="B196" s="2">
        <v>195</v>
      </c>
      <c r="C196" s="41">
        <v>1</v>
      </c>
      <c r="D196" s="41" t="s">
        <v>81</v>
      </c>
      <c r="E196" s="41" t="s">
        <v>29</v>
      </c>
      <c r="F196" s="15" t="s">
        <v>42</v>
      </c>
      <c r="G196" s="15" t="s">
        <v>62</v>
      </c>
      <c r="H196" s="68"/>
      <c r="I196" s="68"/>
      <c r="J196" s="37">
        <f>IF(Table1214[[#This Row],[modality]]=D195,1,0)</f>
        <v>0</v>
      </c>
      <c r="K196" s="68">
        <f>IF(Table1214[[#This Row],[stimulus]]=G197, 1, 0)</f>
        <v>0</v>
      </c>
      <c r="L196" s="68">
        <f t="shared" si="16"/>
        <v>1</v>
      </c>
      <c r="M196" s="68">
        <f t="shared" si="17"/>
        <v>0</v>
      </c>
    </row>
    <row r="197" spans="1:13" x14ac:dyDescent="0.3">
      <c r="A197" s="4">
        <v>4</v>
      </c>
      <c r="B197" s="2">
        <v>196</v>
      </c>
      <c r="C197" s="43">
        <v>2</v>
      </c>
      <c r="D197" s="43" t="s">
        <v>80</v>
      </c>
      <c r="E197" s="43" t="s">
        <v>0</v>
      </c>
      <c r="F197" s="4" t="s">
        <v>41</v>
      </c>
      <c r="G197" s="4" t="s">
        <v>71</v>
      </c>
      <c r="H197" s="68"/>
      <c r="I197" s="68" t="s">
        <v>151</v>
      </c>
      <c r="J197" s="37">
        <f>IF(Table1214[[#This Row],[modality]]=D196,1,0)</f>
        <v>0</v>
      </c>
      <c r="K197" s="68">
        <f>IF(Table1214[[#This Row],[stimulus]]=G198, 1, 0)</f>
        <v>1</v>
      </c>
      <c r="L197" s="68">
        <f t="shared" si="16"/>
        <v>0</v>
      </c>
      <c r="M197" s="68">
        <f t="shared" si="17"/>
        <v>1</v>
      </c>
    </row>
    <row r="198" spans="1:13" x14ac:dyDescent="0.3">
      <c r="A198" s="4">
        <v>4</v>
      </c>
      <c r="B198" s="2">
        <v>197</v>
      </c>
      <c r="C198" s="42">
        <v>2</v>
      </c>
      <c r="D198" s="42" t="s">
        <v>80</v>
      </c>
      <c r="E198" s="42" t="s">
        <v>40</v>
      </c>
      <c r="F198" s="15" t="s">
        <v>9</v>
      </c>
      <c r="G198" s="15" t="s">
        <v>71</v>
      </c>
      <c r="H198" s="68"/>
      <c r="I198" s="68" t="s">
        <v>150</v>
      </c>
      <c r="J198" s="37">
        <f>IF(Table1214[[#This Row],[modality]]=D197,1,0)</f>
        <v>1</v>
      </c>
      <c r="K198" s="68">
        <f>IF(Table1214[[#This Row],[stimulus]]=G199, 1, 0)</f>
        <v>0</v>
      </c>
      <c r="L198" s="68">
        <f t="shared" si="16"/>
        <v>0</v>
      </c>
      <c r="M198" s="68">
        <f t="shared" si="17"/>
        <v>0</v>
      </c>
    </row>
    <row r="199" spans="1:13" x14ac:dyDescent="0.3">
      <c r="A199" s="4">
        <v>4</v>
      </c>
      <c r="B199" s="2">
        <v>198</v>
      </c>
      <c r="C199" s="43">
        <v>2</v>
      </c>
      <c r="D199" s="43" t="s">
        <v>80</v>
      </c>
      <c r="E199" s="43" t="s">
        <v>0</v>
      </c>
      <c r="F199" s="4" t="s">
        <v>41</v>
      </c>
      <c r="G199" s="4" t="s">
        <v>73</v>
      </c>
      <c r="H199" s="68"/>
      <c r="I199" s="68" t="s">
        <v>151</v>
      </c>
      <c r="J199" s="37">
        <f>IF(Table1214[[#This Row],[modality]]=D198,1,0)</f>
        <v>1</v>
      </c>
      <c r="K199" s="68">
        <f>IF(Table1214[[#This Row],[stimulus]]=G200, 1, 0)</f>
        <v>1</v>
      </c>
      <c r="L199" s="68">
        <f t="shared" si="16"/>
        <v>1</v>
      </c>
      <c r="M199" s="68">
        <f t="shared" si="17"/>
        <v>0</v>
      </c>
    </row>
    <row r="200" spans="1:13" x14ac:dyDescent="0.3">
      <c r="A200" s="4">
        <v>4</v>
      </c>
      <c r="B200" s="2">
        <v>199</v>
      </c>
      <c r="C200" s="42">
        <v>1</v>
      </c>
      <c r="D200" s="42" t="s">
        <v>81</v>
      </c>
      <c r="E200" s="42" t="s">
        <v>40</v>
      </c>
      <c r="F200" s="15" t="s">
        <v>10</v>
      </c>
      <c r="G200" s="15" t="s">
        <v>73</v>
      </c>
      <c r="H200" s="68"/>
      <c r="I200" s="68" t="s">
        <v>150</v>
      </c>
      <c r="J200" s="37">
        <f>IF(Table1214[[#This Row],[modality]]=D199,1,0)</f>
        <v>0</v>
      </c>
      <c r="K200" s="68">
        <f>IF(Table1214[[#This Row],[stimulus]]=G201, 1, 0)</f>
        <v>0</v>
      </c>
      <c r="L200" s="68">
        <f t="shared" si="16"/>
        <v>0</v>
      </c>
      <c r="M200" s="68">
        <f t="shared" si="17"/>
        <v>0</v>
      </c>
    </row>
    <row r="201" spans="1:13" x14ac:dyDescent="0.3">
      <c r="A201" s="4">
        <v>4</v>
      </c>
      <c r="B201" s="2">
        <v>200</v>
      </c>
      <c r="C201" s="41">
        <v>2</v>
      </c>
      <c r="D201" s="41" t="s">
        <v>80</v>
      </c>
      <c r="E201" s="41" t="s">
        <v>29</v>
      </c>
      <c r="F201" s="4" t="s">
        <v>42</v>
      </c>
      <c r="G201" s="4" t="s">
        <v>66</v>
      </c>
      <c r="H201" s="68"/>
      <c r="I201" s="68"/>
      <c r="J201" s="37">
        <f>IF(Table1214[[#This Row],[modality]]=D200,1,0)</f>
        <v>0</v>
      </c>
      <c r="K201" s="68">
        <f>IF(Table1214[[#This Row],[stimulus]]=G202, 1, 0)</f>
        <v>0</v>
      </c>
      <c r="L201" s="68">
        <f t="shared" si="16"/>
        <v>1</v>
      </c>
      <c r="M201" s="68">
        <f t="shared" si="17"/>
        <v>0</v>
      </c>
    </row>
    <row r="202" spans="1:13" x14ac:dyDescent="0.3">
      <c r="A202" s="4">
        <v>4</v>
      </c>
      <c r="B202" s="2">
        <v>201</v>
      </c>
      <c r="C202" s="42">
        <v>1</v>
      </c>
      <c r="D202" s="42" t="s">
        <v>81</v>
      </c>
      <c r="E202" s="42" t="s">
        <v>0</v>
      </c>
      <c r="F202" s="15" t="s">
        <v>41</v>
      </c>
      <c r="G202" s="15" t="s">
        <v>68</v>
      </c>
      <c r="H202" s="68"/>
      <c r="I202" s="68" t="s">
        <v>151</v>
      </c>
      <c r="J202" s="37">
        <f>IF(Table1214[[#This Row],[modality]]=D201,1,0)</f>
        <v>0</v>
      </c>
      <c r="K202" s="68">
        <f>IF(Table1214[[#This Row],[stimulus]]=G203, 1, 0)</f>
        <v>1</v>
      </c>
      <c r="L202" s="68">
        <f t="shared" si="16"/>
        <v>0</v>
      </c>
      <c r="M202" s="68">
        <f t="shared" si="17"/>
        <v>1</v>
      </c>
    </row>
    <row r="203" spans="1:13" x14ac:dyDescent="0.3">
      <c r="A203" s="4">
        <v>4</v>
      </c>
      <c r="B203" s="2">
        <v>202</v>
      </c>
      <c r="C203" s="43">
        <v>2</v>
      </c>
      <c r="D203" s="43" t="s">
        <v>80</v>
      </c>
      <c r="E203" s="43" t="s">
        <v>40</v>
      </c>
      <c r="F203" s="4" t="s">
        <v>10</v>
      </c>
      <c r="G203" s="4" t="s">
        <v>68</v>
      </c>
      <c r="H203" s="68"/>
      <c r="I203" s="68" t="s">
        <v>150</v>
      </c>
      <c r="J203" s="37">
        <f>IF(Table1214[[#This Row],[modality]]=D202,1,0)</f>
        <v>0</v>
      </c>
      <c r="K203" s="68">
        <f>IF(Table1214[[#This Row],[stimulus]]=G204, 1, 0)</f>
        <v>0</v>
      </c>
      <c r="L203" s="68">
        <f t="shared" si="16"/>
        <v>0</v>
      </c>
      <c r="M203" s="68">
        <f t="shared" si="17"/>
        <v>0</v>
      </c>
    </row>
    <row r="204" spans="1:13" x14ac:dyDescent="0.3">
      <c r="A204" s="4">
        <v>4</v>
      </c>
      <c r="B204" s="2">
        <v>203</v>
      </c>
      <c r="C204" s="41">
        <v>1</v>
      </c>
      <c r="D204" s="41" t="s">
        <v>81</v>
      </c>
      <c r="E204" s="41" t="s">
        <v>29</v>
      </c>
      <c r="F204" s="27" t="s">
        <v>42</v>
      </c>
      <c r="G204" s="27" t="s">
        <v>59</v>
      </c>
      <c r="H204" s="68"/>
      <c r="I204" s="68"/>
      <c r="J204" s="37">
        <f>IF(Table1214[[#This Row],[modality]]=D203,1,0)</f>
        <v>0</v>
      </c>
      <c r="K204" s="68">
        <f>IF(Table1214[[#This Row],[stimulus]]=G206, 1, 0)</f>
        <v>0</v>
      </c>
      <c r="L204" s="68">
        <f t="shared" si="16"/>
        <v>1</v>
      </c>
      <c r="M204" s="68">
        <f t="shared" si="17"/>
        <v>0</v>
      </c>
    </row>
    <row r="205" spans="1:13" x14ac:dyDescent="0.3">
      <c r="A205" s="4">
        <v>4</v>
      </c>
      <c r="B205" s="2">
        <v>204</v>
      </c>
      <c r="C205" s="81">
        <v>1</v>
      </c>
      <c r="D205" s="81" t="s">
        <v>81</v>
      </c>
      <c r="E205" s="81" t="s">
        <v>29</v>
      </c>
      <c r="F205" s="83" t="s">
        <v>42</v>
      </c>
      <c r="G205" s="82" t="s">
        <v>60</v>
      </c>
      <c r="H205" s="68"/>
      <c r="I205" s="68" t="s">
        <v>151</v>
      </c>
      <c r="J205" s="37">
        <f>IF(Table1214[[#This Row],[modality]]=D204,1,0)</f>
        <v>1</v>
      </c>
      <c r="K205" s="68">
        <f>IF(Table1214[[#This Row],[stimulus]]=G206, 1, 0)</f>
        <v>0</v>
      </c>
      <c r="L205" s="68">
        <f t="shared" si="16"/>
        <v>0</v>
      </c>
      <c r="M205" s="68">
        <f t="shared" si="17"/>
        <v>1</v>
      </c>
    </row>
    <row r="206" spans="1:13" x14ac:dyDescent="0.3">
      <c r="A206" s="4">
        <v>4</v>
      </c>
      <c r="B206" s="2">
        <v>205</v>
      </c>
      <c r="C206" s="41">
        <v>2</v>
      </c>
      <c r="D206" s="41" t="s">
        <v>80</v>
      </c>
      <c r="E206" s="41" t="s">
        <v>29</v>
      </c>
      <c r="F206" s="15" t="s">
        <v>42</v>
      </c>
      <c r="G206" s="15" t="s">
        <v>65</v>
      </c>
      <c r="H206" s="68"/>
      <c r="I206" s="68" t="s">
        <v>151</v>
      </c>
      <c r="J206" s="37">
        <f>IF(Table1214[[#This Row],[modality]]=D204,1,0)</f>
        <v>0</v>
      </c>
      <c r="K206" s="68">
        <f>IF(Table1214[[#This Row],[stimulus]]=G207, 1, 0)</f>
        <v>0</v>
      </c>
      <c r="L206" s="68">
        <f>IF(E204="T",1,0)</f>
        <v>0</v>
      </c>
      <c r="M206" s="68">
        <f>IF(E204="F",1,0)</f>
        <v>1</v>
      </c>
    </row>
    <row r="207" spans="1:13" x14ac:dyDescent="0.3">
      <c r="A207" s="4">
        <v>4</v>
      </c>
      <c r="B207" s="2">
        <v>206</v>
      </c>
      <c r="C207" s="42">
        <v>2</v>
      </c>
      <c r="D207" s="42" t="s">
        <v>80</v>
      </c>
      <c r="E207" s="42" t="s">
        <v>0</v>
      </c>
      <c r="F207" s="15" t="s">
        <v>41</v>
      </c>
      <c r="G207" s="15" t="s">
        <v>74</v>
      </c>
      <c r="H207" s="68"/>
      <c r="I207" s="68" t="s">
        <v>151</v>
      </c>
      <c r="J207" s="37">
        <f>IF(Table1214[[#This Row],[modality]]=D206,1,0)</f>
        <v>1</v>
      </c>
      <c r="K207" s="68">
        <f>IF(Table1214[[#This Row],[stimulus]]=G208, 1, 0)</f>
        <v>1</v>
      </c>
      <c r="L207" s="68">
        <f t="shared" ref="L207:L216" si="18">IF(E206="T",1,0)</f>
        <v>0</v>
      </c>
      <c r="M207" s="68">
        <f t="shared" ref="M207:M216" si="19">IF(E206="F",1,0)</f>
        <v>1</v>
      </c>
    </row>
    <row r="208" spans="1:13" x14ac:dyDescent="0.3">
      <c r="A208" s="4">
        <v>4</v>
      </c>
      <c r="B208" s="2">
        <v>207</v>
      </c>
      <c r="C208" s="43">
        <v>2</v>
      </c>
      <c r="D208" s="43" t="s">
        <v>80</v>
      </c>
      <c r="E208" s="43" t="s">
        <v>40</v>
      </c>
      <c r="F208" s="4" t="s">
        <v>9</v>
      </c>
      <c r="G208" s="4" t="s">
        <v>74</v>
      </c>
      <c r="H208" s="68"/>
      <c r="I208" s="68" t="s">
        <v>150</v>
      </c>
      <c r="J208" s="37">
        <f>IF(Table1214[[#This Row],[modality]]=D207,1,0)</f>
        <v>1</v>
      </c>
      <c r="K208" s="68">
        <f>IF(Table1214[[#This Row],[stimulus]]=G209, 1, 0)</f>
        <v>0</v>
      </c>
      <c r="L208" s="68">
        <f t="shared" si="18"/>
        <v>0</v>
      </c>
      <c r="M208" s="68">
        <f t="shared" si="19"/>
        <v>0</v>
      </c>
    </row>
    <row r="209" spans="1:13" x14ac:dyDescent="0.3">
      <c r="A209" s="4">
        <v>4</v>
      </c>
      <c r="B209" s="2">
        <v>208</v>
      </c>
      <c r="C209" s="41">
        <v>1</v>
      </c>
      <c r="D209" s="41" t="s">
        <v>81</v>
      </c>
      <c r="E209" s="41" t="s">
        <v>29</v>
      </c>
      <c r="F209" s="15" t="s">
        <v>42</v>
      </c>
      <c r="G209" s="15" t="s">
        <v>61</v>
      </c>
      <c r="H209" s="68"/>
      <c r="I209" s="68"/>
      <c r="J209" s="37">
        <f>IF(Table1214[[#This Row],[modality]]=D208,1,0)</f>
        <v>0</v>
      </c>
      <c r="K209" s="68">
        <f>IF(Table1214[[#This Row],[stimulus]]=G210, 1, 0)</f>
        <v>0</v>
      </c>
      <c r="L209" s="68">
        <f t="shared" si="18"/>
        <v>1</v>
      </c>
      <c r="M209" s="68">
        <f t="shared" si="19"/>
        <v>0</v>
      </c>
    </row>
    <row r="210" spans="1:13" x14ac:dyDescent="0.3">
      <c r="A210" s="4">
        <v>4</v>
      </c>
      <c r="B210" s="2">
        <v>209</v>
      </c>
      <c r="C210" s="41">
        <v>2</v>
      </c>
      <c r="D210" s="41" t="s">
        <v>80</v>
      </c>
      <c r="E210" s="41" t="s">
        <v>29</v>
      </c>
      <c r="F210" s="4" t="s">
        <v>42</v>
      </c>
      <c r="G210" s="4" t="s">
        <v>63</v>
      </c>
      <c r="H210" s="68"/>
      <c r="I210" s="68" t="s">
        <v>151</v>
      </c>
      <c r="J210" s="37">
        <f>IF(Table1214[[#This Row],[modality]]=D209,1,0)</f>
        <v>0</v>
      </c>
      <c r="K210" s="68">
        <f>IF(Table1214[[#This Row],[stimulus]]=G211, 1, 0)</f>
        <v>0</v>
      </c>
      <c r="L210" s="68">
        <f t="shared" si="18"/>
        <v>0</v>
      </c>
      <c r="M210" s="68">
        <f t="shared" si="19"/>
        <v>1</v>
      </c>
    </row>
    <row r="211" spans="1:13" x14ac:dyDescent="0.3">
      <c r="A211" s="4">
        <v>4</v>
      </c>
      <c r="B211" s="2">
        <v>210</v>
      </c>
      <c r="C211" s="69">
        <v>2</v>
      </c>
      <c r="D211" s="69" t="s">
        <v>80</v>
      </c>
      <c r="E211" s="69" t="s">
        <v>0</v>
      </c>
      <c r="F211" s="27" t="s">
        <v>41</v>
      </c>
      <c r="G211" s="27" t="s">
        <v>69</v>
      </c>
      <c r="H211" s="68"/>
      <c r="I211" s="68" t="s">
        <v>151</v>
      </c>
      <c r="J211" s="37">
        <f>IF(Table1214[[#This Row],[modality]]=D210,1,0)</f>
        <v>1</v>
      </c>
      <c r="K211" s="68">
        <f>IF(Table1214[[#This Row],[stimulus]]=G212, 1, 0)</f>
        <v>1</v>
      </c>
      <c r="L211" s="68">
        <f t="shared" si="18"/>
        <v>0</v>
      </c>
      <c r="M211" s="68">
        <f t="shared" si="19"/>
        <v>1</v>
      </c>
    </row>
    <row r="212" spans="1:13" x14ac:dyDescent="0.3">
      <c r="A212" s="4">
        <v>4</v>
      </c>
      <c r="B212" s="2">
        <v>211</v>
      </c>
      <c r="C212" s="42">
        <v>1</v>
      </c>
      <c r="D212" s="42" t="s">
        <v>81</v>
      </c>
      <c r="E212" s="42" t="s">
        <v>40</v>
      </c>
      <c r="F212" s="15" t="s">
        <v>10</v>
      </c>
      <c r="G212" s="15" t="s">
        <v>69</v>
      </c>
      <c r="H212" s="68"/>
      <c r="I212" s="68" t="s">
        <v>150</v>
      </c>
      <c r="J212" s="37">
        <f>IF(Table1214[[#This Row],[modality]]=D211,1,0)</f>
        <v>0</v>
      </c>
      <c r="K212" s="68">
        <f>IF(Table1214[[#This Row],[stimulus]]=G213, 1, 0)</f>
        <v>0</v>
      </c>
      <c r="L212" s="68">
        <f t="shared" si="18"/>
        <v>0</v>
      </c>
      <c r="M212" s="68">
        <f t="shared" si="19"/>
        <v>0</v>
      </c>
    </row>
    <row r="213" spans="1:13" x14ac:dyDescent="0.3">
      <c r="A213" s="4">
        <v>4</v>
      </c>
      <c r="B213" s="2">
        <v>212</v>
      </c>
      <c r="C213" s="69">
        <v>1</v>
      </c>
      <c r="D213" s="69" t="s">
        <v>81</v>
      </c>
      <c r="E213" s="69" t="s">
        <v>0</v>
      </c>
      <c r="F213" s="27" t="s">
        <v>41</v>
      </c>
      <c r="G213" s="27" t="s">
        <v>70</v>
      </c>
      <c r="H213" s="68"/>
      <c r="I213" s="68" t="s">
        <v>151</v>
      </c>
      <c r="J213" s="37">
        <f>IF(Table1214[[#This Row],[modality]]=D212,1,0)</f>
        <v>1</v>
      </c>
      <c r="K213" s="68">
        <f>IF(Table1214[[#This Row],[stimulus]]=G214, 1, 0)</f>
        <v>1</v>
      </c>
      <c r="L213" s="68">
        <f t="shared" si="18"/>
        <v>1</v>
      </c>
      <c r="M213" s="68">
        <f t="shared" si="19"/>
        <v>0</v>
      </c>
    </row>
    <row r="214" spans="1:13" x14ac:dyDescent="0.3">
      <c r="A214" s="4">
        <v>4</v>
      </c>
      <c r="B214" s="2">
        <v>213</v>
      </c>
      <c r="C214" s="42">
        <v>1</v>
      </c>
      <c r="D214" s="42" t="s">
        <v>81</v>
      </c>
      <c r="E214" s="42" t="s">
        <v>40</v>
      </c>
      <c r="F214" s="15" t="s">
        <v>9</v>
      </c>
      <c r="G214" s="15" t="s">
        <v>70</v>
      </c>
      <c r="H214" s="68"/>
      <c r="I214" s="68" t="s">
        <v>150</v>
      </c>
      <c r="J214" s="37">
        <f>IF(Table1214[[#This Row],[modality]]=D213,1,0)</f>
        <v>1</v>
      </c>
      <c r="K214" s="68">
        <f>IF(Table1214[[#This Row],[stimulus]]=G215, 1, 0)</f>
        <v>0</v>
      </c>
      <c r="L214" s="68">
        <f t="shared" si="18"/>
        <v>0</v>
      </c>
      <c r="M214" s="68">
        <f t="shared" si="19"/>
        <v>0</v>
      </c>
    </row>
    <row r="215" spans="1:13" x14ac:dyDescent="0.3">
      <c r="A215" s="79">
        <v>4</v>
      </c>
      <c r="B215" s="2">
        <v>214</v>
      </c>
      <c r="C215" s="56">
        <v>2</v>
      </c>
      <c r="D215" s="56" t="s">
        <v>80</v>
      </c>
      <c r="E215" s="56" t="s">
        <v>29</v>
      </c>
      <c r="F215" s="54" t="s">
        <v>42</v>
      </c>
      <c r="G215" s="54"/>
      <c r="H215" s="78" t="s">
        <v>127</v>
      </c>
      <c r="I215" s="68"/>
      <c r="J215" s="37">
        <f>IF(Table1214[[#This Row],[modality]]=D214,1,0)</f>
        <v>0</v>
      </c>
      <c r="K215" s="68">
        <f>IF(Table1214[[#This Row],[stimulus]]=G217, 1, 0)</f>
        <v>0</v>
      </c>
      <c r="L215" s="68">
        <f t="shared" si="18"/>
        <v>1</v>
      </c>
      <c r="M215" s="68">
        <f t="shared" si="19"/>
        <v>0</v>
      </c>
    </row>
    <row r="216" spans="1:13" x14ac:dyDescent="0.3">
      <c r="A216" s="4">
        <v>4</v>
      </c>
      <c r="B216" s="2">
        <v>215</v>
      </c>
      <c r="C216" s="74">
        <v>2</v>
      </c>
      <c r="D216" s="74" t="s">
        <v>80</v>
      </c>
      <c r="E216" s="74" t="s">
        <v>29</v>
      </c>
      <c r="F216" s="75" t="s">
        <v>42</v>
      </c>
      <c r="G216" s="75" t="s">
        <v>61</v>
      </c>
      <c r="H216" s="68"/>
      <c r="I216" s="68" t="s">
        <v>151</v>
      </c>
      <c r="J216" s="37">
        <f>IF(Table1214[[#This Row],[modality]]=D215,1,0)</f>
        <v>1</v>
      </c>
      <c r="K216" s="68">
        <f>IF(Table1214[[#This Row],[stimulus]]=G217, 1, 0)</f>
        <v>0</v>
      </c>
      <c r="L216" s="68">
        <f t="shared" si="18"/>
        <v>0</v>
      </c>
      <c r="M216" s="68">
        <f t="shared" si="19"/>
        <v>1</v>
      </c>
    </row>
    <row r="217" spans="1:13" x14ac:dyDescent="0.3">
      <c r="A217" s="4">
        <v>4</v>
      </c>
      <c r="B217" s="2">
        <v>216</v>
      </c>
      <c r="C217" s="41">
        <v>1</v>
      </c>
      <c r="D217" s="41" t="s">
        <v>81</v>
      </c>
      <c r="E217" s="41" t="s">
        <v>29</v>
      </c>
      <c r="F217" s="15" t="s">
        <v>42</v>
      </c>
      <c r="G217" s="15" t="s">
        <v>60</v>
      </c>
      <c r="H217" s="68"/>
      <c r="I217" s="68"/>
      <c r="J217" s="37">
        <f>IF(Table1214[[#This Row],[modality]]=D215,1,0)</f>
        <v>0</v>
      </c>
      <c r="K217" s="68">
        <f>IF(Table1214[[#This Row],[stimulus]]=G218, 1, 0)</f>
        <v>0</v>
      </c>
      <c r="L217" s="68">
        <f>IF(E215="T",1,0)</f>
        <v>0</v>
      </c>
      <c r="M217" s="68">
        <f>IF(E215="F",1,0)</f>
        <v>1</v>
      </c>
    </row>
    <row r="218" spans="1:13" x14ac:dyDescent="0.3">
      <c r="A218" s="2" t="s">
        <v>25</v>
      </c>
      <c r="B218" s="2">
        <v>217</v>
      </c>
      <c r="C218" s="67"/>
      <c r="D218" s="67" t="s">
        <v>142</v>
      </c>
      <c r="E218" s="67" t="s">
        <v>142</v>
      </c>
      <c r="F218" s="29"/>
      <c r="G218" s="29"/>
      <c r="H218" s="68"/>
      <c r="I218" s="68" t="s">
        <v>150</v>
      </c>
      <c r="J218" s="37">
        <f>IF(Table1214[[#This Row],[modality]]=D217,1,0)</f>
        <v>0</v>
      </c>
      <c r="K218" s="68">
        <f>IF(Table1214[[#This Row],[stimulus]]=G219, 1, 0)</f>
        <v>0</v>
      </c>
      <c r="L218" s="68">
        <f t="shared" ref="L218:L223" si="20">IF(E217="T",1,0)</f>
        <v>0</v>
      </c>
      <c r="M218" s="68">
        <f t="shared" ref="M218:M223" si="21">IF(E217="F",1,0)</f>
        <v>1</v>
      </c>
    </row>
    <row r="219" spans="1:13" x14ac:dyDescent="0.3">
      <c r="A219" s="7">
        <v>1</v>
      </c>
      <c r="B219" s="2">
        <v>218</v>
      </c>
      <c r="C219" s="38">
        <v>2</v>
      </c>
      <c r="D219" s="44" t="s">
        <v>80</v>
      </c>
      <c r="E219" s="46" t="s">
        <v>29</v>
      </c>
      <c r="F219" s="15" t="s">
        <v>42</v>
      </c>
      <c r="G219" s="15" t="s">
        <v>71</v>
      </c>
      <c r="H219" s="68"/>
      <c r="I219" s="90" t="s">
        <v>151</v>
      </c>
      <c r="J219" s="37">
        <f>IF(Table1214[[#This Row],[modality]]=D218,1,0)</f>
        <v>0</v>
      </c>
      <c r="K219" s="68">
        <f>IF(Table1214[[#This Row],[stimulus]]=G220, 1, 0)</f>
        <v>0</v>
      </c>
      <c r="L219" s="68">
        <f t="shared" si="20"/>
        <v>0</v>
      </c>
      <c r="M219" s="68">
        <f t="shared" si="21"/>
        <v>0</v>
      </c>
    </row>
    <row r="220" spans="1:13" x14ac:dyDescent="0.3">
      <c r="A220" s="7">
        <v>1</v>
      </c>
      <c r="B220" s="2">
        <v>219</v>
      </c>
      <c r="C220" s="66">
        <v>2</v>
      </c>
      <c r="D220" s="66" t="s">
        <v>80</v>
      </c>
      <c r="E220" s="69" t="s">
        <v>0</v>
      </c>
      <c r="F220" s="27" t="s">
        <v>41</v>
      </c>
      <c r="G220" s="27" t="s">
        <v>49</v>
      </c>
      <c r="H220" s="68"/>
      <c r="I220" s="68" t="s">
        <v>151</v>
      </c>
      <c r="J220" s="37">
        <f>IF(Table1214[[#This Row],[modality]]=D219,1,0)</f>
        <v>1</v>
      </c>
      <c r="K220" s="68">
        <f>IF(Table1214[[#This Row],[stimulus]]=G221, 1, 0)</f>
        <v>1</v>
      </c>
      <c r="L220" s="68">
        <f t="shared" si="20"/>
        <v>0</v>
      </c>
      <c r="M220" s="68">
        <f t="shared" si="21"/>
        <v>1</v>
      </c>
    </row>
    <row r="221" spans="1:13" x14ac:dyDescent="0.3">
      <c r="A221" s="7">
        <v>1</v>
      </c>
      <c r="B221" s="2">
        <v>220</v>
      </c>
      <c r="C221" s="36">
        <v>2</v>
      </c>
      <c r="D221" s="36" t="s">
        <v>80</v>
      </c>
      <c r="E221" s="42" t="s">
        <v>40</v>
      </c>
      <c r="F221" s="15" t="s">
        <v>9</v>
      </c>
      <c r="G221" s="15" t="s">
        <v>49</v>
      </c>
      <c r="H221" s="68"/>
      <c r="I221" s="68" t="s">
        <v>150</v>
      </c>
      <c r="J221" s="37">
        <f>IF(Table1214[[#This Row],[modality]]=D220,1,0)</f>
        <v>1</v>
      </c>
      <c r="K221" s="68">
        <f>IF(Table1214[[#This Row],[stimulus]]=G222, 1, 0)</f>
        <v>0</v>
      </c>
      <c r="L221" s="68">
        <f t="shared" si="20"/>
        <v>0</v>
      </c>
      <c r="M221" s="68">
        <f t="shared" si="21"/>
        <v>0</v>
      </c>
    </row>
    <row r="222" spans="1:13" x14ac:dyDescent="0.3">
      <c r="A222" s="7">
        <v>1</v>
      </c>
      <c r="B222" s="2">
        <v>221</v>
      </c>
      <c r="C222" s="38">
        <v>1</v>
      </c>
      <c r="D222" s="38" t="s">
        <v>81</v>
      </c>
      <c r="E222" s="46" t="s">
        <v>29</v>
      </c>
      <c r="F222" s="27" t="s">
        <v>42</v>
      </c>
      <c r="G222" s="27" t="s">
        <v>69</v>
      </c>
      <c r="H222" s="68"/>
      <c r="I222" s="68"/>
      <c r="J222" s="37">
        <f>IF(Table1214[[#This Row],[modality]]=D221,1,0)</f>
        <v>0</v>
      </c>
      <c r="K222" s="68">
        <f>IF(Table1214[[#This Row],[stimulus]]=G224, 1, 0)</f>
        <v>0</v>
      </c>
      <c r="L222" s="68">
        <f t="shared" si="20"/>
        <v>1</v>
      </c>
      <c r="M222" s="68">
        <f t="shared" si="21"/>
        <v>0</v>
      </c>
    </row>
    <row r="223" spans="1:13" x14ac:dyDescent="0.3">
      <c r="A223" s="4">
        <v>1</v>
      </c>
      <c r="B223" s="2">
        <v>222</v>
      </c>
      <c r="C223" s="81">
        <v>1</v>
      </c>
      <c r="D223" s="81" t="s">
        <v>81</v>
      </c>
      <c r="E223" s="81" t="s">
        <v>29</v>
      </c>
      <c r="F223" s="82" t="s">
        <v>42</v>
      </c>
      <c r="G223" s="82" t="s">
        <v>67</v>
      </c>
      <c r="H223" s="68"/>
      <c r="I223" s="68" t="s">
        <v>151</v>
      </c>
      <c r="J223" s="37">
        <f>IF(Table1214[[#This Row],[modality]]=D222,1,0)</f>
        <v>1</v>
      </c>
      <c r="K223" s="68">
        <f>IF(Table1214[[#This Row],[stimulus]]=G224, 1, 0)</f>
        <v>0</v>
      </c>
      <c r="L223" s="68">
        <f t="shared" si="20"/>
        <v>0</v>
      </c>
      <c r="M223" s="68">
        <f t="shared" si="21"/>
        <v>1</v>
      </c>
    </row>
    <row r="224" spans="1:13" x14ac:dyDescent="0.3">
      <c r="A224" s="7">
        <v>1</v>
      </c>
      <c r="B224" s="2">
        <v>223</v>
      </c>
      <c r="C224" s="38">
        <v>1</v>
      </c>
      <c r="D224" s="38" t="s">
        <v>81</v>
      </c>
      <c r="E224" s="46" t="s">
        <v>29</v>
      </c>
      <c r="F224" s="15" t="s">
        <v>42</v>
      </c>
      <c r="G224" s="15" t="s">
        <v>73</v>
      </c>
      <c r="H224" s="68"/>
      <c r="I224" s="68"/>
      <c r="J224" s="37">
        <f>IF(Table1214[[#This Row],[modality]]=D222,1,0)</f>
        <v>1</v>
      </c>
      <c r="K224" s="68">
        <f>IF(Table1214[[#This Row],[stimulus]]=G225, 1, 0)</f>
        <v>0</v>
      </c>
      <c r="L224" s="68">
        <f>IF(E222="T",1,0)</f>
        <v>0</v>
      </c>
      <c r="M224" s="68">
        <f>IF(E222="F",1,0)</f>
        <v>1</v>
      </c>
    </row>
    <row r="225" spans="1:16" x14ac:dyDescent="0.3">
      <c r="A225" s="7">
        <v>1</v>
      </c>
      <c r="B225" s="2">
        <v>224</v>
      </c>
      <c r="C225" s="66">
        <v>2</v>
      </c>
      <c r="D225" s="66" t="s">
        <v>80</v>
      </c>
      <c r="E225" s="69" t="s">
        <v>0</v>
      </c>
      <c r="F225" s="27" t="s">
        <v>41</v>
      </c>
      <c r="G225" s="27" t="s">
        <v>48</v>
      </c>
      <c r="H225" s="68"/>
      <c r="I225" s="68" t="s">
        <v>151</v>
      </c>
      <c r="J225" s="37">
        <f>IF(Table1214[[#This Row],[modality]]=D224,1,0)</f>
        <v>0</v>
      </c>
      <c r="K225" s="68">
        <f>IF(Table1214[[#This Row],[stimulus]]=G226, 1, 0)</f>
        <v>1</v>
      </c>
      <c r="L225" s="68">
        <f t="shared" ref="L225:L245" si="22">IF(E224="T",1,0)</f>
        <v>0</v>
      </c>
      <c r="M225" s="68">
        <f t="shared" ref="M225:M245" si="23">IF(E224="F",1,0)</f>
        <v>1</v>
      </c>
    </row>
    <row r="226" spans="1:16" x14ac:dyDescent="0.3">
      <c r="A226" s="7">
        <v>1</v>
      </c>
      <c r="B226" s="2">
        <v>225</v>
      </c>
      <c r="C226" s="36">
        <v>2</v>
      </c>
      <c r="D226" s="36" t="s">
        <v>80</v>
      </c>
      <c r="E226" s="42" t="s">
        <v>40</v>
      </c>
      <c r="F226" s="15" t="s">
        <v>9</v>
      </c>
      <c r="G226" s="15" t="s">
        <v>48</v>
      </c>
      <c r="H226" s="68"/>
      <c r="I226" s="68" t="s">
        <v>150</v>
      </c>
      <c r="J226" s="37">
        <f>IF(Table1214[[#This Row],[modality]]=D225,1,0)</f>
        <v>1</v>
      </c>
      <c r="K226" s="68">
        <f>IF(Table1214[[#This Row],[stimulus]]=G227, 1, 0)</f>
        <v>0</v>
      </c>
      <c r="L226" s="68">
        <f t="shared" si="22"/>
        <v>0</v>
      </c>
      <c r="M226" s="68">
        <f t="shared" si="23"/>
        <v>0</v>
      </c>
    </row>
    <row r="227" spans="1:16" x14ac:dyDescent="0.3">
      <c r="A227" s="7">
        <v>1</v>
      </c>
      <c r="B227" s="2">
        <v>226</v>
      </c>
      <c r="C227" s="66">
        <v>2</v>
      </c>
      <c r="D227" s="66" t="s">
        <v>80</v>
      </c>
      <c r="E227" s="69" t="s">
        <v>0</v>
      </c>
      <c r="F227" s="27" t="s">
        <v>41</v>
      </c>
      <c r="G227" s="27" t="s">
        <v>50</v>
      </c>
      <c r="H227" s="68"/>
      <c r="I227" s="68" t="s">
        <v>151</v>
      </c>
      <c r="J227" s="37">
        <f>IF(Table1214[[#This Row],[modality]]=D226,1,0)</f>
        <v>1</v>
      </c>
      <c r="K227" s="68">
        <f>IF(Table1214[[#This Row],[stimulus]]=G228, 1, 0)</f>
        <v>1</v>
      </c>
      <c r="L227" s="68">
        <f t="shared" si="22"/>
        <v>1</v>
      </c>
      <c r="M227" s="68">
        <f t="shared" si="23"/>
        <v>0</v>
      </c>
    </row>
    <row r="228" spans="1:16" x14ac:dyDescent="0.3">
      <c r="A228" s="7">
        <v>1</v>
      </c>
      <c r="B228" s="2">
        <v>227</v>
      </c>
      <c r="C228" s="36">
        <v>1</v>
      </c>
      <c r="D228" s="36" t="s">
        <v>81</v>
      </c>
      <c r="E228" s="42" t="s">
        <v>40</v>
      </c>
      <c r="F228" s="15" t="s">
        <v>10</v>
      </c>
      <c r="G228" s="15" t="s">
        <v>50</v>
      </c>
      <c r="H228" s="68"/>
      <c r="I228" s="68" t="s">
        <v>150</v>
      </c>
      <c r="J228" s="37">
        <f>IF(Table1214[[#This Row],[modality]]=D227,1,0)</f>
        <v>0</v>
      </c>
      <c r="K228" s="68">
        <f>IF(Table1214[[#This Row],[stimulus]]=G229, 1, 0)</f>
        <v>0</v>
      </c>
      <c r="L228" s="68">
        <f t="shared" si="22"/>
        <v>0</v>
      </c>
      <c r="M228" s="68">
        <f t="shared" si="23"/>
        <v>0</v>
      </c>
    </row>
    <row r="229" spans="1:16" x14ac:dyDescent="0.3">
      <c r="A229" s="7">
        <v>1</v>
      </c>
      <c r="B229" s="2">
        <v>228</v>
      </c>
      <c r="C229" s="38">
        <v>1</v>
      </c>
      <c r="D229" s="38" t="s">
        <v>81</v>
      </c>
      <c r="E229" s="46" t="s">
        <v>29</v>
      </c>
      <c r="F229" s="27" t="s">
        <v>42</v>
      </c>
      <c r="G229" s="27" t="s">
        <v>70</v>
      </c>
      <c r="H229" s="68"/>
      <c r="I229" s="68"/>
      <c r="J229" s="37">
        <f>IF(Table1214[[#This Row],[modality]]=D228,1,0)</f>
        <v>1</v>
      </c>
      <c r="K229" s="68">
        <f>IF(Table1214[[#This Row],[stimulus]]=G230, 1, 0)</f>
        <v>0</v>
      </c>
      <c r="L229" s="68">
        <f t="shared" si="22"/>
        <v>1</v>
      </c>
      <c r="M229" s="68">
        <f t="shared" si="23"/>
        <v>0</v>
      </c>
    </row>
    <row r="230" spans="1:16" x14ac:dyDescent="0.3">
      <c r="A230" s="7">
        <v>1</v>
      </c>
      <c r="B230" s="2">
        <v>229</v>
      </c>
      <c r="C230" s="36">
        <v>1</v>
      </c>
      <c r="D230" s="36" t="s">
        <v>81</v>
      </c>
      <c r="E230" s="42" t="s">
        <v>0</v>
      </c>
      <c r="F230" s="15" t="s">
        <v>41</v>
      </c>
      <c r="G230" s="15" t="s">
        <v>43</v>
      </c>
      <c r="H230" s="68"/>
      <c r="I230" s="68" t="s">
        <v>151</v>
      </c>
      <c r="J230" s="37">
        <f>IF(Table1214[[#This Row],[modality]]=D229,1,0)</f>
        <v>1</v>
      </c>
      <c r="K230" s="68">
        <f>IF(Table1214[[#This Row],[stimulus]]=G231, 1, 0)</f>
        <v>1</v>
      </c>
      <c r="L230" s="68">
        <f t="shared" si="22"/>
        <v>0</v>
      </c>
      <c r="M230" s="68">
        <f t="shared" si="23"/>
        <v>1</v>
      </c>
    </row>
    <row r="231" spans="1:16" x14ac:dyDescent="0.3">
      <c r="A231" s="7">
        <v>1</v>
      </c>
      <c r="B231" s="2">
        <v>230</v>
      </c>
      <c r="C231" s="66">
        <v>2</v>
      </c>
      <c r="D231" s="66" t="s">
        <v>80</v>
      </c>
      <c r="E231" s="69" t="s">
        <v>40</v>
      </c>
      <c r="F231" s="27" t="s">
        <v>10</v>
      </c>
      <c r="G231" s="27" t="s">
        <v>43</v>
      </c>
      <c r="H231" s="68"/>
      <c r="I231" s="68" t="s">
        <v>150</v>
      </c>
      <c r="J231" s="37">
        <f>IF(Table1214[[#This Row],[modality]]=D230,1,0)</f>
        <v>0</v>
      </c>
      <c r="K231" s="68">
        <f>IF(Table1214[[#This Row],[stimulus]]=G232, 1, 0)</f>
        <v>0</v>
      </c>
      <c r="L231" s="68">
        <f t="shared" si="22"/>
        <v>0</v>
      </c>
      <c r="M231" s="68">
        <f t="shared" si="23"/>
        <v>0</v>
      </c>
    </row>
    <row r="232" spans="1:16" x14ac:dyDescent="0.3">
      <c r="A232" s="7">
        <v>1</v>
      </c>
      <c r="B232" s="2">
        <v>231</v>
      </c>
      <c r="C232" s="36">
        <v>2</v>
      </c>
      <c r="D232" s="36" t="s">
        <v>80</v>
      </c>
      <c r="E232" s="42" t="s">
        <v>0</v>
      </c>
      <c r="F232" s="15" t="s">
        <v>41</v>
      </c>
      <c r="G232" s="15" t="s">
        <v>46</v>
      </c>
      <c r="H232" s="68"/>
      <c r="I232" s="68" t="s">
        <v>151</v>
      </c>
      <c r="J232" s="37">
        <f>IF(Table1214[[#This Row],[modality]]=D231,1,0)</f>
        <v>1</v>
      </c>
      <c r="K232" s="68">
        <f>IF(Table1214[[#This Row],[stimulus]]=G233, 1, 0)</f>
        <v>1</v>
      </c>
      <c r="L232" s="68">
        <f t="shared" si="22"/>
        <v>1</v>
      </c>
      <c r="M232" s="68">
        <f t="shared" si="23"/>
        <v>0</v>
      </c>
      <c r="P232" t="s">
        <v>19</v>
      </c>
    </row>
    <row r="233" spans="1:16" x14ac:dyDescent="0.3">
      <c r="A233" s="7">
        <v>1</v>
      </c>
      <c r="B233" s="2">
        <v>232</v>
      </c>
      <c r="C233" s="66">
        <v>1</v>
      </c>
      <c r="D233" s="66" t="s">
        <v>81</v>
      </c>
      <c r="E233" s="69" t="s">
        <v>40</v>
      </c>
      <c r="F233" s="27" t="s">
        <v>10</v>
      </c>
      <c r="G233" s="27" t="s">
        <v>46</v>
      </c>
      <c r="H233" s="68"/>
      <c r="I233" s="68" t="s">
        <v>150</v>
      </c>
      <c r="J233" s="37">
        <f>IF(Table1214[[#This Row],[modality]]=D232,1,0)</f>
        <v>0</v>
      </c>
      <c r="K233" s="68">
        <f>IF(Table1214[[#This Row],[stimulus]]=G234, 1, 0)</f>
        <v>0</v>
      </c>
      <c r="L233" s="68">
        <f t="shared" si="22"/>
        <v>0</v>
      </c>
      <c r="M233" s="68">
        <f t="shared" si="23"/>
        <v>0</v>
      </c>
    </row>
    <row r="234" spans="1:16" x14ac:dyDescent="0.3">
      <c r="A234" s="7">
        <v>1</v>
      </c>
      <c r="B234" s="2">
        <v>233</v>
      </c>
      <c r="C234" s="38">
        <v>2</v>
      </c>
      <c r="D234" s="44" t="s">
        <v>80</v>
      </c>
      <c r="E234" s="46" t="s">
        <v>29</v>
      </c>
      <c r="F234" s="15" t="s">
        <v>42</v>
      </c>
      <c r="G234" s="15" t="s">
        <v>74</v>
      </c>
      <c r="H234" s="68"/>
      <c r="I234" s="68"/>
      <c r="J234" s="37">
        <f>IF(Table1214[[#This Row],[modality]]=D233,1,0)</f>
        <v>0</v>
      </c>
      <c r="K234" s="68">
        <f>IF(Table1214[[#This Row],[stimulus]]=G235, 1, 0)</f>
        <v>0</v>
      </c>
      <c r="L234" s="68">
        <f t="shared" si="22"/>
        <v>1</v>
      </c>
      <c r="M234" s="68">
        <f t="shared" si="23"/>
        <v>0</v>
      </c>
    </row>
    <row r="235" spans="1:16" x14ac:dyDescent="0.3">
      <c r="A235" s="7">
        <v>1</v>
      </c>
      <c r="B235" s="2">
        <v>234</v>
      </c>
      <c r="C235" s="38">
        <v>2</v>
      </c>
      <c r="D235" s="38" t="s">
        <v>80</v>
      </c>
      <c r="E235" s="46" t="s">
        <v>29</v>
      </c>
      <c r="F235" s="27" t="s">
        <v>42</v>
      </c>
      <c r="G235" s="27" t="s">
        <v>67</v>
      </c>
      <c r="H235" s="68"/>
      <c r="I235" s="68"/>
      <c r="J235" s="37">
        <f>IF(Table1214[[#This Row],[modality]]=D234,1,0)</f>
        <v>1</v>
      </c>
      <c r="K235" s="68">
        <f>IF(Table1214[[#This Row],[stimulus]]=G236, 1, 0)</f>
        <v>0</v>
      </c>
      <c r="L235" s="68">
        <f t="shared" si="22"/>
        <v>0</v>
      </c>
      <c r="M235" s="68">
        <f t="shared" si="23"/>
        <v>1</v>
      </c>
    </row>
    <row r="236" spans="1:16" x14ac:dyDescent="0.3">
      <c r="A236" s="7">
        <v>1</v>
      </c>
      <c r="B236" s="2">
        <v>235</v>
      </c>
      <c r="C236" s="36">
        <v>1</v>
      </c>
      <c r="D236" s="36" t="s">
        <v>81</v>
      </c>
      <c r="E236" s="42" t="s">
        <v>0</v>
      </c>
      <c r="F236" s="15" t="s">
        <v>41</v>
      </c>
      <c r="G236" s="15" t="s">
        <v>44</v>
      </c>
      <c r="H236" s="68"/>
      <c r="I236" s="68" t="s">
        <v>151</v>
      </c>
      <c r="J236" s="37">
        <f>IF(Table1214[[#This Row],[modality]]=D235,1,0)</f>
        <v>0</v>
      </c>
      <c r="K236" s="68">
        <f>IF(Table1214[[#This Row],[stimulus]]=G237, 1, 0)</f>
        <v>1</v>
      </c>
      <c r="L236" s="68">
        <f t="shared" si="22"/>
        <v>0</v>
      </c>
      <c r="M236" s="68">
        <f t="shared" si="23"/>
        <v>1</v>
      </c>
    </row>
    <row r="237" spans="1:16" x14ac:dyDescent="0.3">
      <c r="A237" s="7">
        <v>1</v>
      </c>
      <c r="B237" s="2">
        <v>236</v>
      </c>
      <c r="C237" s="66">
        <v>1</v>
      </c>
      <c r="D237" s="36" t="s">
        <v>81</v>
      </c>
      <c r="E237" s="69" t="s">
        <v>40</v>
      </c>
      <c r="F237" s="27" t="s">
        <v>9</v>
      </c>
      <c r="G237" s="27" t="s">
        <v>44</v>
      </c>
      <c r="H237" s="68"/>
      <c r="I237" s="68" t="s">
        <v>150</v>
      </c>
      <c r="J237" s="37">
        <f>IF(Table1214[[#This Row],[modality]]=D236,1,0)</f>
        <v>1</v>
      </c>
      <c r="K237" s="68">
        <f>IF(Table1214[[#This Row],[stimulus]]=G238, 1, 0)</f>
        <v>0</v>
      </c>
      <c r="L237" s="68">
        <f t="shared" si="22"/>
        <v>0</v>
      </c>
      <c r="M237" s="68">
        <f t="shared" si="23"/>
        <v>0</v>
      </c>
    </row>
    <row r="238" spans="1:16" x14ac:dyDescent="0.3">
      <c r="A238" s="7">
        <v>1</v>
      </c>
      <c r="B238" s="2">
        <v>237</v>
      </c>
      <c r="C238" s="38">
        <v>2</v>
      </c>
      <c r="D238" s="44" t="s">
        <v>80</v>
      </c>
      <c r="E238" s="46" t="s">
        <v>29</v>
      </c>
      <c r="F238" s="15" t="s">
        <v>42</v>
      </c>
      <c r="G238" s="15" t="s">
        <v>72</v>
      </c>
      <c r="H238" s="68"/>
      <c r="I238" s="68"/>
      <c r="J238" s="37">
        <f>IF(Table1214[[#This Row],[modality]]=D237,1,0)</f>
        <v>0</v>
      </c>
      <c r="K238" s="68">
        <f>IF(Table1214[[#This Row],[stimulus]]=G239, 1, 0)</f>
        <v>0</v>
      </c>
      <c r="L238" s="68">
        <f t="shared" si="22"/>
        <v>1</v>
      </c>
      <c r="M238" s="68">
        <f t="shared" si="23"/>
        <v>0</v>
      </c>
    </row>
    <row r="239" spans="1:16" x14ac:dyDescent="0.3">
      <c r="A239" s="7">
        <v>1</v>
      </c>
      <c r="B239" s="2">
        <v>238</v>
      </c>
      <c r="C239" s="38">
        <v>2</v>
      </c>
      <c r="D239" s="38" t="s">
        <v>80</v>
      </c>
      <c r="E239" s="46" t="s">
        <v>29</v>
      </c>
      <c r="F239" s="27" t="s">
        <v>42</v>
      </c>
      <c r="G239" s="27" t="s">
        <v>68</v>
      </c>
      <c r="H239" s="68"/>
      <c r="I239" s="68"/>
      <c r="J239" s="37">
        <f>IF(Table1214[[#This Row],[modality]]=D238,1,0)</f>
        <v>1</v>
      </c>
      <c r="K239" s="68">
        <f>IF(Table1214[[#This Row],[stimulus]]=G240, 1, 0)</f>
        <v>0</v>
      </c>
      <c r="L239" s="68">
        <f t="shared" si="22"/>
        <v>0</v>
      </c>
      <c r="M239" s="68">
        <f t="shared" si="23"/>
        <v>1</v>
      </c>
    </row>
    <row r="240" spans="1:16" x14ac:dyDescent="0.3">
      <c r="A240" s="7">
        <v>1</v>
      </c>
      <c r="B240" s="2">
        <v>239</v>
      </c>
      <c r="C240" s="36">
        <v>1</v>
      </c>
      <c r="D240" s="36" t="s">
        <v>81</v>
      </c>
      <c r="E240" s="42" t="s">
        <v>0</v>
      </c>
      <c r="F240" s="15" t="s">
        <v>41</v>
      </c>
      <c r="G240" s="15" t="s">
        <v>45</v>
      </c>
      <c r="H240" s="68"/>
      <c r="I240" s="68" t="s">
        <v>151</v>
      </c>
      <c r="J240" s="37">
        <f>IF(Table1214[[#This Row],[modality]]=D239,1,0)</f>
        <v>0</v>
      </c>
      <c r="K240" s="68">
        <f>IF(Table1214[[#This Row],[stimulus]]=G241, 1, 0)</f>
        <v>1</v>
      </c>
      <c r="L240" s="68">
        <f t="shared" si="22"/>
        <v>0</v>
      </c>
      <c r="M240" s="68">
        <f t="shared" si="23"/>
        <v>1</v>
      </c>
    </row>
    <row r="241" spans="1:13" x14ac:dyDescent="0.3">
      <c r="A241" s="7">
        <v>1</v>
      </c>
      <c r="B241" s="2">
        <v>240</v>
      </c>
      <c r="C241" s="66">
        <v>1</v>
      </c>
      <c r="D241" s="36" t="s">
        <v>81</v>
      </c>
      <c r="E241" s="69" t="s">
        <v>40</v>
      </c>
      <c r="F241" s="27" t="s">
        <v>9</v>
      </c>
      <c r="G241" s="27" t="s">
        <v>45</v>
      </c>
      <c r="H241" s="68"/>
      <c r="I241" s="68" t="s">
        <v>150</v>
      </c>
      <c r="J241" s="37">
        <f>IF(Table1214[[#This Row],[modality]]=D240,1,0)</f>
        <v>1</v>
      </c>
      <c r="K241" s="68">
        <f>IF(Table1214[[#This Row],[stimulus]]=G242, 1, 0)</f>
        <v>0</v>
      </c>
      <c r="L241" s="68">
        <f t="shared" si="22"/>
        <v>0</v>
      </c>
      <c r="M241" s="68">
        <f t="shared" si="23"/>
        <v>0</v>
      </c>
    </row>
    <row r="242" spans="1:13" x14ac:dyDescent="0.3">
      <c r="A242" s="7">
        <v>1</v>
      </c>
      <c r="B242" s="2">
        <v>241</v>
      </c>
      <c r="C242" s="36">
        <v>1</v>
      </c>
      <c r="D242" s="36" t="s">
        <v>81</v>
      </c>
      <c r="E242" s="42" t="s">
        <v>0</v>
      </c>
      <c r="F242" s="15" t="s">
        <v>41</v>
      </c>
      <c r="G242" s="15" t="s">
        <v>47</v>
      </c>
      <c r="H242" s="68"/>
      <c r="I242" s="68" t="s">
        <v>151</v>
      </c>
      <c r="J242" s="37">
        <f>IF(Table1214[[#This Row],[modality]]=D241,1,0)</f>
        <v>1</v>
      </c>
      <c r="K242" s="68">
        <f>IF(Table1214[[#This Row],[stimulus]]=G243, 1, 0)</f>
        <v>1</v>
      </c>
      <c r="L242" s="68">
        <f t="shared" si="22"/>
        <v>1</v>
      </c>
      <c r="M242" s="68">
        <f t="shared" si="23"/>
        <v>0</v>
      </c>
    </row>
    <row r="243" spans="1:13" x14ac:dyDescent="0.3">
      <c r="A243" s="7">
        <v>1</v>
      </c>
      <c r="B243" s="2">
        <v>242</v>
      </c>
      <c r="C243" s="66">
        <v>2</v>
      </c>
      <c r="D243" s="66" t="s">
        <v>80</v>
      </c>
      <c r="E243" s="69" t="s">
        <v>40</v>
      </c>
      <c r="F243" s="27" t="s">
        <v>10</v>
      </c>
      <c r="G243" s="27" t="s">
        <v>47</v>
      </c>
      <c r="H243" s="68"/>
      <c r="I243" s="68" t="s">
        <v>150</v>
      </c>
      <c r="J243" s="37">
        <f>IF(Table1214[[#This Row],[modality]]=D242,1,0)</f>
        <v>0</v>
      </c>
      <c r="K243" s="68">
        <f>IF(Table1214[[#This Row],[stimulus]]=G244, 1, 0)</f>
        <v>0</v>
      </c>
      <c r="L243" s="68">
        <f t="shared" si="22"/>
        <v>0</v>
      </c>
      <c r="M243" s="68">
        <f t="shared" si="23"/>
        <v>0</v>
      </c>
    </row>
    <row r="244" spans="1:13" x14ac:dyDescent="0.3">
      <c r="A244" s="4">
        <v>2</v>
      </c>
      <c r="B244" s="2">
        <v>243</v>
      </c>
      <c r="C244" s="39">
        <v>2</v>
      </c>
      <c r="D244" s="39" t="s">
        <v>80</v>
      </c>
      <c r="E244" s="39" t="s">
        <v>29</v>
      </c>
      <c r="F244" s="4" t="s">
        <v>42</v>
      </c>
      <c r="G244" s="4" t="s">
        <v>49</v>
      </c>
      <c r="H244" s="68"/>
      <c r="I244" s="68"/>
      <c r="J244" s="37">
        <f>IF(Table1214[[#This Row],[modality]]=D243,1,0)</f>
        <v>1</v>
      </c>
      <c r="K244" s="68">
        <f>IF(Table1214[[#This Row],[stimulus]]=G246, 1, 0)</f>
        <v>0</v>
      </c>
      <c r="L244" s="68">
        <f t="shared" si="22"/>
        <v>1</v>
      </c>
      <c r="M244" s="68">
        <f t="shared" si="23"/>
        <v>0</v>
      </c>
    </row>
    <row r="245" spans="1:13" x14ac:dyDescent="0.3">
      <c r="A245" s="4">
        <v>2</v>
      </c>
      <c r="B245" s="2">
        <v>244</v>
      </c>
      <c r="C245" s="76">
        <v>2</v>
      </c>
      <c r="D245" s="76" t="s">
        <v>80</v>
      </c>
      <c r="E245" s="76" t="s">
        <v>29</v>
      </c>
      <c r="F245" s="75" t="s">
        <v>42</v>
      </c>
      <c r="G245" s="75" t="s">
        <v>46</v>
      </c>
      <c r="H245" s="68"/>
      <c r="I245" s="68" t="s">
        <v>151</v>
      </c>
      <c r="J245" s="37">
        <f>IF(Table1214[[#This Row],[modality]]=D244,1,0)</f>
        <v>1</v>
      </c>
      <c r="K245" s="68">
        <f>IF(Table1214[[#This Row],[stimulus]]=G246, 1, 0)</f>
        <v>0</v>
      </c>
      <c r="L245" s="68">
        <f t="shared" si="22"/>
        <v>0</v>
      </c>
      <c r="M245" s="68">
        <f t="shared" si="23"/>
        <v>1</v>
      </c>
    </row>
    <row r="246" spans="1:13" x14ac:dyDescent="0.3">
      <c r="A246" s="4">
        <v>2</v>
      </c>
      <c r="B246" s="2">
        <v>245</v>
      </c>
      <c r="C246" s="39">
        <v>1</v>
      </c>
      <c r="D246" s="39" t="s">
        <v>81</v>
      </c>
      <c r="E246" s="39" t="s">
        <v>29</v>
      </c>
      <c r="F246" s="27" t="s">
        <v>42</v>
      </c>
      <c r="G246" s="27" t="s">
        <v>45</v>
      </c>
      <c r="H246" s="68"/>
      <c r="I246" s="68"/>
      <c r="J246" s="37">
        <f>IF(Table1214[[#This Row],[modality]]=D244,1,0)</f>
        <v>0</v>
      </c>
      <c r="K246" s="68">
        <f>IF(Table1214[[#This Row],[stimulus]]=G247, 1, 0)</f>
        <v>0</v>
      </c>
      <c r="L246" s="68">
        <f>IF(E244="T",1,0)</f>
        <v>0</v>
      </c>
      <c r="M246" s="68">
        <f>IF(E244="F",1,0)</f>
        <v>1</v>
      </c>
    </row>
    <row r="247" spans="1:13" x14ac:dyDescent="0.3">
      <c r="A247" s="4">
        <v>2</v>
      </c>
      <c r="B247" s="2">
        <v>246</v>
      </c>
      <c r="C247" s="37">
        <v>1</v>
      </c>
      <c r="D247" s="43" t="s">
        <v>81</v>
      </c>
      <c r="E247" s="43" t="s">
        <v>0</v>
      </c>
      <c r="F247" s="4" t="s">
        <v>41</v>
      </c>
      <c r="G247" s="4" t="s">
        <v>52</v>
      </c>
      <c r="H247" s="68"/>
      <c r="I247" s="68" t="s">
        <v>151</v>
      </c>
      <c r="J247" s="37">
        <f>IF(Table1214[[#This Row],[modality]]=D246,1,0)</f>
        <v>1</v>
      </c>
      <c r="K247" s="68">
        <f>IF(Table1214[[#This Row],[stimulus]]=G248, 1, 0)</f>
        <v>1</v>
      </c>
      <c r="L247" s="68">
        <f t="shared" ref="L247:L264" si="24">IF(E246="T",1,0)</f>
        <v>0</v>
      </c>
      <c r="M247" s="68">
        <f t="shared" ref="M247:M264" si="25">IF(E246="F",1,0)</f>
        <v>1</v>
      </c>
    </row>
    <row r="248" spans="1:13" x14ac:dyDescent="0.3">
      <c r="A248" s="4">
        <v>2</v>
      </c>
      <c r="B248" s="2">
        <v>247</v>
      </c>
      <c r="C248" s="36">
        <v>1</v>
      </c>
      <c r="D248" s="42" t="s">
        <v>81</v>
      </c>
      <c r="E248" s="42" t="s">
        <v>40</v>
      </c>
      <c r="F248" s="15" t="s">
        <v>9</v>
      </c>
      <c r="G248" s="15" t="s">
        <v>52</v>
      </c>
      <c r="H248" s="68"/>
      <c r="I248" s="68" t="s">
        <v>150</v>
      </c>
      <c r="J248" s="37">
        <f>IF(Table1214[[#This Row],[modality]]=D247,1,0)</f>
        <v>1</v>
      </c>
      <c r="K248" s="68">
        <f>IF(Table1214[[#This Row],[stimulus]]=G249, 1, 0)</f>
        <v>0</v>
      </c>
      <c r="L248" s="68">
        <f t="shared" si="24"/>
        <v>0</v>
      </c>
      <c r="M248" s="68">
        <f t="shared" si="25"/>
        <v>0</v>
      </c>
    </row>
    <row r="249" spans="1:13" x14ac:dyDescent="0.3">
      <c r="A249" s="4">
        <v>2</v>
      </c>
      <c r="B249" s="2">
        <v>248</v>
      </c>
      <c r="C249" s="39">
        <v>2</v>
      </c>
      <c r="D249" s="39" t="s">
        <v>80</v>
      </c>
      <c r="E249" s="39" t="s">
        <v>29</v>
      </c>
      <c r="F249" s="15" t="s">
        <v>42</v>
      </c>
      <c r="G249" s="15" t="s">
        <v>48</v>
      </c>
      <c r="H249" s="68"/>
      <c r="I249" s="68"/>
      <c r="J249" s="37">
        <f>IF(Table1214[[#This Row],[modality]]=D248,1,0)</f>
        <v>0</v>
      </c>
      <c r="K249" s="68">
        <f>IF(Table1214[[#This Row],[stimulus]]=G250, 1, 0)</f>
        <v>0</v>
      </c>
      <c r="L249" s="68">
        <f t="shared" si="24"/>
        <v>1</v>
      </c>
      <c r="M249" s="68">
        <f t="shared" si="25"/>
        <v>0</v>
      </c>
    </row>
    <row r="250" spans="1:13" x14ac:dyDescent="0.3">
      <c r="A250" s="4">
        <v>2</v>
      </c>
      <c r="B250" s="2">
        <v>249</v>
      </c>
      <c r="C250" s="66">
        <v>1</v>
      </c>
      <c r="D250" s="66" t="s">
        <v>81</v>
      </c>
      <c r="E250" s="69" t="s">
        <v>0</v>
      </c>
      <c r="F250" s="27" t="s">
        <v>41</v>
      </c>
      <c r="G250" s="27" t="s">
        <v>53</v>
      </c>
      <c r="H250" s="68"/>
      <c r="I250" s="68" t="s">
        <v>151</v>
      </c>
      <c r="J250" s="37">
        <f>IF(Table1214[[#This Row],[modality]]=D249,1,0)</f>
        <v>0</v>
      </c>
      <c r="K250" s="68">
        <f>IF(Table1214[[#This Row],[stimulus]]=G251, 1, 0)</f>
        <v>1</v>
      </c>
      <c r="L250" s="68">
        <f t="shared" si="24"/>
        <v>0</v>
      </c>
      <c r="M250" s="68">
        <f t="shared" si="25"/>
        <v>1</v>
      </c>
    </row>
    <row r="251" spans="1:13" x14ac:dyDescent="0.3">
      <c r="A251" s="4">
        <v>2</v>
      </c>
      <c r="B251" s="2">
        <v>250</v>
      </c>
      <c r="C251" s="36">
        <v>1</v>
      </c>
      <c r="D251" s="36" t="s">
        <v>81</v>
      </c>
      <c r="E251" s="42" t="s">
        <v>40</v>
      </c>
      <c r="F251" s="15" t="s">
        <v>9</v>
      </c>
      <c r="G251" s="15" t="s">
        <v>53</v>
      </c>
      <c r="H251" s="68"/>
      <c r="I251" s="68" t="s">
        <v>150</v>
      </c>
      <c r="J251" s="37">
        <f>IF(Table1214[[#This Row],[modality]]=D250,1,0)</f>
        <v>1</v>
      </c>
      <c r="K251" s="68">
        <f>IF(Table1214[[#This Row],[stimulus]]=G252, 1, 0)</f>
        <v>0</v>
      </c>
      <c r="L251" s="68">
        <f t="shared" si="24"/>
        <v>0</v>
      </c>
      <c r="M251" s="68">
        <f t="shared" si="25"/>
        <v>0</v>
      </c>
    </row>
    <row r="252" spans="1:13" x14ac:dyDescent="0.3">
      <c r="A252" s="4">
        <v>2</v>
      </c>
      <c r="B252" s="2">
        <v>251</v>
      </c>
      <c r="C252" s="66">
        <v>1</v>
      </c>
      <c r="D252" s="66" t="s">
        <v>81</v>
      </c>
      <c r="E252" s="69" t="s">
        <v>0</v>
      </c>
      <c r="F252" s="27" t="s">
        <v>41</v>
      </c>
      <c r="G252" s="27" t="s">
        <v>55</v>
      </c>
      <c r="H252" s="68"/>
      <c r="I252" s="68" t="s">
        <v>151</v>
      </c>
      <c r="J252" s="37">
        <f>IF(Table1214[[#This Row],[modality]]=D251,1,0)</f>
        <v>1</v>
      </c>
      <c r="K252" s="68">
        <f>IF(Table1214[[#This Row],[stimulus]]=G253, 1, 0)</f>
        <v>1</v>
      </c>
      <c r="L252" s="68">
        <f t="shared" si="24"/>
        <v>1</v>
      </c>
      <c r="M252" s="68">
        <f t="shared" si="25"/>
        <v>0</v>
      </c>
    </row>
    <row r="253" spans="1:13" x14ac:dyDescent="0.3">
      <c r="A253" s="4">
        <v>2</v>
      </c>
      <c r="B253" s="2">
        <v>252</v>
      </c>
      <c r="C253" s="36">
        <v>2</v>
      </c>
      <c r="D253" s="36" t="s">
        <v>80</v>
      </c>
      <c r="E253" s="42" t="s">
        <v>40</v>
      </c>
      <c r="F253" s="15" t="s">
        <v>10</v>
      </c>
      <c r="G253" s="15" t="s">
        <v>55</v>
      </c>
      <c r="H253" s="68"/>
      <c r="I253" s="68" t="s">
        <v>150</v>
      </c>
      <c r="J253" s="37">
        <f>IF(Table1214[[#This Row],[modality]]=D252,1,0)</f>
        <v>0</v>
      </c>
      <c r="K253" s="68">
        <f>IF(Table1214[[#This Row],[stimulus]]=G254, 1, 0)</f>
        <v>0</v>
      </c>
      <c r="L253" s="68">
        <f t="shared" si="24"/>
        <v>0</v>
      </c>
      <c r="M253" s="68">
        <f t="shared" si="25"/>
        <v>0</v>
      </c>
    </row>
    <row r="254" spans="1:13" x14ac:dyDescent="0.3">
      <c r="A254" s="4">
        <v>2</v>
      </c>
      <c r="B254" s="2">
        <v>253</v>
      </c>
      <c r="C254" s="39">
        <v>2</v>
      </c>
      <c r="D254" s="39" t="s">
        <v>80</v>
      </c>
      <c r="E254" s="39" t="s">
        <v>29</v>
      </c>
      <c r="F254" s="27" t="s">
        <v>42</v>
      </c>
      <c r="G254" s="27" t="s">
        <v>50</v>
      </c>
      <c r="H254" s="68"/>
      <c r="I254" s="68"/>
      <c r="J254" s="37">
        <f>IF(Table1214[[#This Row],[modality]]=D253,1,0)</f>
        <v>1</v>
      </c>
      <c r="K254" s="68">
        <f>IF(Table1214[[#This Row],[stimulus]]=G255, 1, 0)</f>
        <v>0</v>
      </c>
      <c r="L254" s="68">
        <f t="shared" si="24"/>
        <v>1</v>
      </c>
      <c r="M254" s="68">
        <f t="shared" si="25"/>
        <v>0</v>
      </c>
    </row>
    <row r="255" spans="1:13" x14ac:dyDescent="0.3">
      <c r="A255" s="4">
        <v>2</v>
      </c>
      <c r="B255" s="2">
        <v>254</v>
      </c>
      <c r="C255" s="36">
        <v>2</v>
      </c>
      <c r="D255" s="36" t="s">
        <v>80</v>
      </c>
      <c r="E255" s="42" t="s">
        <v>0</v>
      </c>
      <c r="F255" s="15" t="s">
        <v>41</v>
      </c>
      <c r="G255" s="15" t="s">
        <v>54</v>
      </c>
      <c r="H255" s="68"/>
      <c r="I255" s="68" t="s">
        <v>151</v>
      </c>
      <c r="J255" s="37">
        <f>IF(Table1214[[#This Row],[modality]]=D254,1,0)</f>
        <v>1</v>
      </c>
      <c r="K255" s="68">
        <f>IF(Table1214[[#This Row],[stimulus]]=G256, 1, 0)</f>
        <v>1</v>
      </c>
      <c r="L255" s="68">
        <f t="shared" si="24"/>
        <v>0</v>
      </c>
      <c r="M255" s="68">
        <f t="shared" si="25"/>
        <v>1</v>
      </c>
    </row>
    <row r="256" spans="1:13" x14ac:dyDescent="0.3">
      <c r="A256" s="4">
        <v>2</v>
      </c>
      <c r="B256" s="2">
        <v>255</v>
      </c>
      <c r="C256" s="66">
        <v>1</v>
      </c>
      <c r="D256" s="66" t="s">
        <v>81</v>
      </c>
      <c r="E256" s="69" t="s">
        <v>40</v>
      </c>
      <c r="F256" s="27" t="s">
        <v>10</v>
      </c>
      <c r="G256" s="27" t="s">
        <v>54</v>
      </c>
      <c r="H256" s="68"/>
      <c r="I256" s="68" t="s">
        <v>150</v>
      </c>
      <c r="J256" s="37">
        <f>IF(Table1214[[#This Row],[modality]]=D255,1,0)</f>
        <v>0</v>
      </c>
      <c r="K256" s="68">
        <f>IF(Table1214[[#This Row],[stimulus]]=G257, 1, 0)</f>
        <v>0</v>
      </c>
      <c r="L256" s="68">
        <f t="shared" si="24"/>
        <v>0</v>
      </c>
      <c r="M256" s="68">
        <f t="shared" si="25"/>
        <v>0</v>
      </c>
    </row>
    <row r="257" spans="1:13" x14ac:dyDescent="0.3">
      <c r="A257" s="4">
        <v>2</v>
      </c>
      <c r="B257" s="2">
        <v>256</v>
      </c>
      <c r="C257" s="39">
        <v>1</v>
      </c>
      <c r="D257" s="39" t="s">
        <v>81</v>
      </c>
      <c r="E257" s="39" t="s">
        <v>29</v>
      </c>
      <c r="F257" s="15" t="s">
        <v>42</v>
      </c>
      <c r="G257" s="15" t="s">
        <v>43</v>
      </c>
      <c r="H257" s="68"/>
      <c r="I257" s="68"/>
      <c r="J257" s="37">
        <f>IF(Table1214[[#This Row],[modality]]=D256,1,0)</f>
        <v>1</v>
      </c>
      <c r="K257" s="68">
        <f>IF(Table1214[[#This Row],[stimulus]]=G258, 1, 0)</f>
        <v>0</v>
      </c>
      <c r="L257" s="68">
        <f t="shared" si="24"/>
        <v>1</v>
      </c>
      <c r="M257" s="68">
        <f t="shared" si="25"/>
        <v>0</v>
      </c>
    </row>
    <row r="258" spans="1:13" x14ac:dyDescent="0.3">
      <c r="A258" s="4">
        <v>2</v>
      </c>
      <c r="B258" s="2">
        <v>257</v>
      </c>
      <c r="C258" s="36">
        <v>1</v>
      </c>
      <c r="D258" s="36" t="s">
        <v>81</v>
      </c>
      <c r="E258" s="42" t="s">
        <v>0</v>
      </c>
      <c r="F258" s="15" t="s">
        <v>41</v>
      </c>
      <c r="G258" s="15" t="s">
        <v>51</v>
      </c>
      <c r="H258" s="68"/>
      <c r="I258" s="68" t="s">
        <v>151</v>
      </c>
      <c r="J258" s="37">
        <f>IF(Table1214[[#This Row],[modality]]=D257,1,0)</f>
        <v>1</v>
      </c>
      <c r="K258" s="68">
        <f>IF(Table1214[[#This Row],[stimulus]]=G259, 1, 0)</f>
        <v>1</v>
      </c>
      <c r="L258" s="68">
        <f t="shared" si="24"/>
        <v>0</v>
      </c>
      <c r="M258" s="68">
        <f t="shared" si="25"/>
        <v>1</v>
      </c>
    </row>
    <row r="259" spans="1:13" x14ac:dyDescent="0.3">
      <c r="A259" s="4">
        <v>2</v>
      </c>
      <c r="B259" s="2">
        <v>258</v>
      </c>
      <c r="C259" s="37">
        <v>2</v>
      </c>
      <c r="D259" s="37" t="s">
        <v>80</v>
      </c>
      <c r="E259" s="43" t="s">
        <v>40</v>
      </c>
      <c r="F259" s="4" t="s">
        <v>10</v>
      </c>
      <c r="G259" s="4" t="s">
        <v>51</v>
      </c>
      <c r="H259" s="68"/>
      <c r="I259" s="68" t="s">
        <v>150</v>
      </c>
      <c r="J259" s="37">
        <f>IF(Table1214[[#This Row],[modality]]=D258,1,0)</f>
        <v>0</v>
      </c>
      <c r="K259" s="68">
        <f>IF(Table1214[[#This Row],[stimulus]]=G260, 1, 0)</f>
        <v>0</v>
      </c>
      <c r="L259" s="68">
        <f t="shared" si="24"/>
        <v>0</v>
      </c>
      <c r="M259" s="68">
        <f t="shared" si="25"/>
        <v>0</v>
      </c>
    </row>
    <row r="260" spans="1:13" x14ac:dyDescent="0.3">
      <c r="A260" s="4">
        <v>2</v>
      </c>
      <c r="B260" s="2">
        <v>259</v>
      </c>
      <c r="C260" s="39">
        <v>1</v>
      </c>
      <c r="D260" s="39" t="s">
        <v>81</v>
      </c>
      <c r="E260" s="39" t="s">
        <v>29</v>
      </c>
      <c r="F260" s="27" t="s">
        <v>42</v>
      </c>
      <c r="G260" s="27" t="s">
        <v>46</v>
      </c>
      <c r="H260" s="68"/>
      <c r="I260" s="68"/>
      <c r="J260" s="37">
        <f>IF(Table1214[[#This Row],[modality]]=D259,1,0)</f>
        <v>0</v>
      </c>
      <c r="K260" s="68">
        <f>IF(Table1214[[#This Row],[stimulus]]=G261, 1, 0)</f>
        <v>0</v>
      </c>
      <c r="L260" s="68">
        <f t="shared" si="24"/>
        <v>1</v>
      </c>
      <c r="M260" s="68">
        <f t="shared" si="25"/>
        <v>0</v>
      </c>
    </row>
    <row r="261" spans="1:13" x14ac:dyDescent="0.3">
      <c r="A261" s="4">
        <v>2</v>
      </c>
      <c r="B261" s="2">
        <v>260</v>
      </c>
      <c r="C261" s="36">
        <v>2</v>
      </c>
      <c r="D261" s="36" t="s">
        <v>80</v>
      </c>
      <c r="E261" s="42" t="s">
        <v>0</v>
      </c>
      <c r="F261" s="15" t="s">
        <v>41</v>
      </c>
      <c r="G261" s="15" t="s">
        <v>57</v>
      </c>
      <c r="H261" s="68"/>
      <c r="I261" s="68" t="s">
        <v>151</v>
      </c>
      <c r="J261" s="37">
        <f>IF(Table1214[[#This Row],[modality]]=D260,1,0)</f>
        <v>0</v>
      </c>
      <c r="K261" s="68">
        <f>IF(Table1214[[#This Row],[stimulus]]=G262, 1, 0)</f>
        <v>1</v>
      </c>
      <c r="L261" s="68">
        <f t="shared" si="24"/>
        <v>0</v>
      </c>
      <c r="M261" s="68">
        <f t="shared" si="25"/>
        <v>1</v>
      </c>
    </row>
    <row r="262" spans="1:13" x14ac:dyDescent="0.3">
      <c r="A262" s="4">
        <v>2</v>
      </c>
      <c r="B262" s="2">
        <v>261</v>
      </c>
      <c r="C262" s="66">
        <v>2</v>
      </c>
      <c r="D262" s="66" t="s">
        <v>80</v>
      </c>
      <c r="E262" s="69" t="s">
        <v>40</v>
      </c>
      <c r="F262" s="27" t="s">
        <v>9</v>
      </c>
      <c r="G262" s="27" t="s">
        <v>57</v>
      </c>
      <c r="H262" s="68"/>
      <c r="I262" s="68" t="s">
        <v>150</v>
      </c>
      <c r="J262" s="37">
        <f>IF(Table1214[[#This Row],[modality]]=D261,1,0)</f>
        <v>1</v>
      </c>
      <c r="K262" s="68">
        <f>IF(Table1214[[#This Row],[stimulus]]=G263, 1, 0)</f>
        <v>0</v>
      </c>
      <c r="L262" s="68">
        <f t="shared" si="24"/>
        <v>0</v>
      </c>
      <c r="M262" s="68">
        <f t="shared" si="25"/>
        <v>0</v>
      </c>
    </row>
    <row r="263" spans="1:13" x14ac:dyDescent="0.3">
      <c r="A263" s="4">
        <v>2</v>
      </c>
      <c r="B263" s="2">
        <v>262</v>
      </c>
      <c r="C263" s="39">
        <v>1</v>
      </c>
      <c r="D263" s="39" t="s">
        <v>81</v>
      </c>
      <c r="E263" s="39" t="s">
        <v>29</v>
      </c>
      <c r="F263" s="15" t="s">
        <v>42</v>
      </c>
      <c r="G263" s="15" t="s">
        <v>44</v>
      </c>
      <c r="H263" s="68"/>
      <c r="I263" s="68"/>
      <c r="J263" s="37">
        <f>IF(Table1214[[#This Row],[modality]]=D262,1,0)</f>
        <v>0</v>
      </c>
      <c r="K263" s="68">
        <f>IF(Table1214[[#This Row],[stimulus]]=G265, 1, 0)</f>
        <v>0</v>
      </c>
      <c r="L263" s="68">
        <f t="shared" si="24"/>
        <v>1</v>
      </c>
      <c r="M263" s="68">
        <f t="shared" si="25"/>
        <v>0</v>
      </c>
    </row>
    <row r="264" spans="1:13" x14ac:dyDescent="0.3">
      <c r="A264" s="4">
        <v>2</v>
      </c>
      <c r="B264" s="2">
        <v>263</v>
      </c>
      <c r="C264" s="81">
        <v>1</v>
      </c>
      <c r="D264" s="81" t="s">
        <v>81</v>
      </c>
      <c r="E264" s="81" t="s">
        <v>29</v>
      </c>
      <c r="F264" s="82" t="s">
        <v>42</v>
      </c>
      <c r="G264" s="82" t="s">
        <v>48</v>
      </c>
      <c r="H264" s="68"/>
      <c r="I264" s="68" t="s">
        <v>151</v>
      </c>
      <c r="J264" s="37">
        <f>IF(Table1214[[#This Row],[modality]]=D263,1,0)</f>
        <v>1</v>
      </c>
      <c r="K264" s="68">
        <f>IF(Table1214[[#This Row],[stimulus]]=G265, 1, 0)</f>
        <v>0</v>
      </c>
      <c r="L264" s="68">
        <f t="shared" si="24"/>
        <v>0</v>
      </c>
      <c r="M264" s="68">
        <f t="shared" si="25"/>
        <v>1</v>
      </c>
    </row>
    <row r="265" spans="1:13" x14ac:dyDescent="0.3">
      <c r="A265" s="4">
        <v>2</v>
      </c>
      <c r="B265" s="2">
        <v>264</v>
      </c>
      <c r="C265" s="66">
        <v>2</v>
      </c>
      <c r="D265" s="66" t="s">
        <v>80</v>
      </c>
      <c r="E265" s="69" t="s">
        <v>0</v>
      </c>
      <c r="F265" s="27" t="s">
        <v>41</v>
      </c>
      <c r="G265" s="27" t="s">
        <v>58</v>
      </c>
      <c r="H265" s="68"/>
      <c r="I265" s="68" t="s">
        <v>151</v>
      </c>
      <c r="J265" s="37">
        <f>IF(Table1214[[#This Row],[modality]]=D263,1,0)</f>
        <v>0</v>
      </c>
      <c r="K265" s="68">
        <f>IF(Table1214[[#This Row],[stimulus]]=G266, 1, 0)</f>
        <v>1</v>
      </c>
      <c r="L265" s="68">
        <f>IF(E263="T",1,0)</f>
        <v>0</v>
      </c>
      <c r="M265" s="68">
        <f>IF(E263="F",1,0)</f>
        <v>1</v>
      </c>
    </row>
    <row r="266" spans="1:13" x14ac:dyDescent="0.3">
      <c r="A266" s="4">
        <v>2</v>
      </c>
      <c r="B266" s="2">
        <v>265</v>
      </c>
      <c r="C266" s="36">
        <v>2</v>
      </c>
      <c r="D266" s="36" t="s">
        <v>80</v>
      </c>
      <c r="E266" s="42" t="s">
        <v>40</v>
      </c>
      <c r="F266" s="15" t="s">
        <v>9</v>
      </c>
      <c r="G266" s="15" t="s">
        <v>58</v>
      </c>
      <c r="H266" s="68"/>
      <c r="I266" s="68" t="s">
        <v>150</v>
      </c>
      <c r="J266" s="37">
        <f>IF(Table1214[[#This Row],[modality]]=D265,1,0)</f>
        <v>1</v>
      </c>
      <c r="K266" s="68">
        <f>IF(Table1214[[#This Row],[stimulus]]=G267, 1, 0)</f>
        <v>0</v>
      </c>
      <c r="L266" s="68">
        <f t="shared" ref="L266:L282" si="26">IF(E265="T",1,0)</f>
        <v>0</v>
      </c>
      <c r="M266" s="68">
        <f t="shared" ref="M266:M282" si="27">IF(E265="F",1,0)</f>
        <v>0</v>
      </c>
    </row>
    <row r="267" spans="1:13" x14ac:dyDescent="0.3">
      <c r="A267" s="4">
        <v>2</v>
      </c>
      <c r="B267" s="2">
        <v>266</v>
      </c>
      <c r="C267" s="39">
        <v>2</v>
      </c>
      <c r="D267" s="39" t="s">
        <v>80</v>
      </c>
      <c r="E267" s="39" t="s">
        <v>29</v>
      </c>
      <c r="F267" s="15" t="s">
        <v>42</v>
      </c>
      <c r="G267" s="15" t="s">
        <v>47</v>
      </c>
      <c r="H267" s="68"/>
      <c r="I267" s="68"/>
      <c r="J267" s="37">
        <f>IF(Table1214[[#This Row],[modality]]=D266,1,0)</f>
        <v>1</v>
      </c>
      <c r="K267" s="68">
        <f>IF(Table1214[[#This Row],[stimulus]]=G268, 1, 0)</f>
        <v>0</v>
      </c>
      <c r="L267" s="68">
        <f t="shared" si="26"/>
        <v>1</v>
      </c>
      <c r="M267" s="68">
        <f t="shared" si="27"/>
        <v>0</v>
      </c>
    </row>
    <row r="268" spans="1:13" x14ac:dyDescent="0.3">
      <c r="A268" s="4">
        <v>2</v>
      </c>
      <c r="B268" s="2">
        <v>267</v>
      </c>
      <c r="C268" s="37">
        <v>2</v>
      </c>
      <c r="D268" s="37" t="s">
        <v>80</v>
      </c>
      <c r="E268" s="43" t="s">
        <v>0</v>
      </c>
      <c r="F268" s="4" t="s">
        <v>41</v>
      </c>
      <c r="G268" s="4" t="s">
        <v>56</v>
      </c>
      <c r="H268" s="68"/>
      <c r="I268" s="68" t="s">
        <v>151</v>
      </c>
      <c r="J268" s="37">
        <f>IF(Table1214[[#This Row],[modality]]=D267,1,0)</f>
        <v>1</v>
      </c>
      <c r="K268" s="68">
        <f>IF(Table1214[[#This Row],[stimulus]]=G269, 1, 0)</f>
        <v>1</v>
      </c>
      <c r="L268" s="68">
        <f t="shared" si="26"/>
        <v>0</v>
      </c>
      <c r="M268" s="68">
        <f t="shared" si="27"/>
        <v>1</v>
      </c>
    </row>
    <row r="269" spans="1:13" x14ac:dyDescent="0.3">
      <c r="A269" s="4">
        <v>2</v>
      </c>
      <c r="B269" s="2">
        <v>268</v>
      </c>
      <c r="C269" s="36">
        <v>1</v>
      </c>
      <c r="D269" s="36" t="s">
        <v>81</v>
      </c>
      <c r="E269" s="42" t="s">
        <v>40</v>
      </c>
      <c r="F269" s="15" t="s">
        <v>10</v>
      </c>
      <c r="G269" s="15" t="s">
        <v>56</v>
      </c>
      <c r="H269" s="68"/>
      <c r="I269" s="68" t="s">
        <v>150</v>
      </c>
      <c r="J269" s="37">
        <f>IF(Table1214[[#This Row],[modality]]=D268,1,0)</f>
        <v>0</v>
      </c>
      <c r="K269" s="68">
        <f>IF(Table1214[[#This Row],[stimulus]]=G270, 1, 0)</f>
        <v>0</v>
      </c>
      <c r="L269" s="68">
        <f t="shared" si="26"/>
        <v>0</v>
      </c>
      <c r="M269" s="68">
        <f t="shared" si="27"/>
        <v>0</v>
      </c>
    </row>
    <row r="270" spans="1:13" x14ac:dyDescent="0.3">
      <c r="A270" s="7">
        <v>3</v>
      </c>
      <c r="B270" s="2">
        <v>269</v>
      </c>
      <c r="C270" s="40">
        <v>1</v>
      </c>
      <c r="D270" s="40" t="s">
        <v>81</v>
      </c>
      <c r="E270" s="40" t="s">
        <v>29</v>
      </c>
      <c r="F270" s="15" t="s">
        <v>42</v>
      </c>
      <c r="G270" s="15" t="s">
        <v>52</v>
      </c>
      <c r="H270" s="68"/>
      <c r="I270" s="68"/>
      <c r="J270" s="37">
        <f>IF(Table1214[[#This Row],[modality]]=D269,1,0)</f>
        <v>1</v>
      </c>
      <c r="K270" s="68">
        <f>IF(Table1214[[#This Row],[stimulus]]=G271, 1, 0)</f>
        <v>0</v>
      </c>
      <c r="L270" s="68">
        <f t="shared" si="26"/>
        <v>1</v>
      </c>
      <c r="M270" s="68">
        <f t="shared" si="27"/>
        <v>0</v>
      </c>
    </row>
    <row r="271" spans="1:13" x14ac:dyDescent="0.3">
      <c r="A271" s="7">
        <v>3</v>
      </c>
      <c r="B271" s="2">
        <v>270</v>
      </c>
      <c r="C271" s="36">
        <v>1</v>
      </c>
      <c r="D271" s="36" t="s">
        <v>81</v>
      </c>
      <c r="E271" s="42" t="s">
        <v>0</v>
      </c>
      <c r="F271" s="15" t="s">
        <v>41</v>
      </c>
      <c r="G271" s="15" t="s">
        <v>62</v>
      </c>
      <c r="H271" s="68"/>
      <c r="I271" s="68" t="s">
        <v>151</v>
      </c>
      <c r="J271" s="37">
        <f>IF(Table1214[[#This Row],[modality]]=D270,1,0)</f>
        <v>1</v>
      </c>
      <c r="K271" s="68">
        <f>IF(Table1214[[#This Row],[stimulus]]=G272, 1, 0)</f>
        <v>1</v>
      </c>
      <c r="L271" s="68">
        <f t="shared" si="26"/>
        <v>0</v>
      </c>
      <c r="M271" s="68">
        <f t="shared" si="27"/>
        <v>1</v>
      </c>
    </row>
    <row r="272" spans="1:13" x14ac:dyDescent="0.3">
      <c r="A272" s="7">
        <v>3</v>
      </c>
      <c r="B272" s="2">
        <v>271</v>
      </c>
      <c r="C272" s="37">
        <v>2</v>
      </c>
      <c r="D272" s="37" t="s">
        <v>80</v>
      </c>
      <c r="E272" s="43" t="s">
        <v>40</v>
      </c>
      <c r="F272" s="4" t="s">
        <v>10</v>
      </c>
      <c r="G272" s="4" t="s">
        <v>62</v>
      </c>
      <c r="H272" s="68"/>
      <c r="I272" s="68" t="s">
        <v>150</v>
      </c>
      <c r="J272" s="37">
        <f>IF(Table1214[[#This Row],[modality]]=D271,1,0)</f>
        <v>0</v>
      </c>
      <c r="K272" s="68">
        <f>IF(Table1214[[#This Row],[stimulus]]=G273, 1, 0)</f>
        <v>0</v>
      </c>
      <c r="L272" s="68">
        <f t="shared" si="26"/>
        <v>0</v>
      </c>
      <c r="M272" s="68">
        <f t="shared" si="27"/>
        <v>0</v>
      </c>
    </row>
    <row r="273" spans="1:13" x14ac:dyDescent="0.3">
      <c r="A273" s="7">
        <v>3</v>
      </c>
      <c r="B273" s="2">
        <v>272</v>
      </c>
      <c r="C273" s="40">
        <v>2</v>
      </c>
      <c r="D273" s="40" t="s">
        <v>80</v>
      </c>
      <c r="E273" s="40" t="s">
        <v>29</v>
      </c>
      <c r="F273" s="27" t="s">
        <v>42</v>
      </c>
      <c r="G273" s="27" t="s">
        <v>53</v>
      </c>
      <c r="H273" s="68"/>
      <c r="I273" s="68"/>
      <c r="J273" s="37">
        <f>IF(Table1214[[#This Row],[modality]]=D272,1,0)</f>
        <v>1</v>
      </c>
      <c r="K273" s="68">
        <f>IF(Table1214[[#This Row],[stimulus]]=G274, 1, 0)</f>
        <v>0</v>
      </c>
      <c r="L273" s="68">
        <f t="shared" si="26"/>
        <v>1</v>
      </c>
      <c r="M273" s="68">
        <f t="shared" si="27"/>
        <v>0</v>
      </c>
    </row>
    <row r="274" spans="1:13" x14ac:dyDescent="0.3">
      <c r="A274" s="7">
        <v>3</v>
      </c>
      <c r="B274" s="2">
        <v>273</v>
      </c>
      <c r="C274" s="36">
        <v>2</v>
      </c>
      <c r="D274" s="36" t="s">
        <v>80</v>
      </c>
      <c r="E274" s="42" t="s">
        <v>0</v>
      </c>
      <c r="F274" s="15" t="s">
        <v>41</v>
      </c>
      <c r="G274" s="15" t="s">
        <v>65</v>
      </c>
      <c r="H274" s="68"/>
      <c r="I274" s="68" t="s">
        <v>151</v>
      </c>
      <c r="J274" s="37">
        <f>IF(Table1214[[#This Row],[modality]]=D273,1,0)</f>
        <v>1</v>
      </c>
      <c r="K274" s="68">
        <f>IF(Table1214[[#This Row],[stimulus]]=G275, 1, 0)</f>
        <v>1</v>
      </c>
      <c r="L274" s="68">
        <f t="shared" si="26"/>
        <v>0</v>
      </c>
      <c r="M274" s="68">
        <f t="shared" si="27"/>
        <v>1</v>
      </c>
    </row>
    <row r="275" spans="1:13" x14ac:dyDescent="0.3">
      <c r="A275" s="7">
        <v>3</v>
      </c>
      <c r="B275" s="2">
        <v>274</v>
      </c>
      <c r="C275" s="66">
        <v>1</v>
      </c>
      <c r="D275" s="66" t="s">
        <v>81</v>
      </c>
      <c r="E275" s="69" t="s">
        <v>40</v>
      </c>
      <c r="F275" s="27" t="s">
        <v>10</v>
      </c>
      <c r="G275" s="27" t="s">
        <v>65</v>
      </c>
      <c r="H275" s="68"/>
      <c r="I275" s="68" t="s">
        <v>150</v>
      </c>
      <c r="J275" s="37">
        <f>IF(Table1214[[#This Row],[modality]]=D274,1,0)</f>
        <v>0</v>
      </c>
      <c r="K275" s="68">
        <f>IF(Table1214[[#This Row],[stimulus]]=G276, 1, 0)</f>
        <v>0</v>
      </c>
      <c r="L275" s="68">
        <f t="shared" si="26"/>
        <v>0</v>
      </c>
      <c r="M275" s="68">
        <f t="shared" si="27"/>
        <v>0</v>
      </c>
    </row>
    <row r="276" spans="1:13" x14ac:dyDescent="0.3">
      <c r="A276" s="7">
        <v>3</v>
      </c>
      <c r="B276" s="2">
        <v>275</v>
      </c>
      <c r="C276" s="36">
        <v>1</v>
      </c>
      <c r="D276" s="36" t="s">
        <v>81</v>
      </c>
      <c r="E276" s="42" t="s">
        <v>0</v>
      </c>
      <c r="F276" s="15" t="s">
        <v>41</v>
      </c>
      <c r="G276" s="15" t="s">
        <v>60</v>
      </c>
      <c r="H276" s="68"/>
      <c r="I276" s="68" t="s">
        <v>151</v>
      </c>
      <c r="J276" s="37">
        <f>IF(Table1214[[#This Row],[modality]]=D275,1,0)</f>
        <v>1</v>
      </c>
      <c r="K276" s="68">
        <f>IF(Table1214[[#This Row],[stimulus]]=G277, 1, 0)</f>
        <v>1</v>
      </c>
      <c r="L276" s="68">
        <f t="shared" si="26"/>
        <v>1</v>
      </c>
      <c r="M276" s="68">
        <f t="shared" si="27"/>
        <v>0</v>
      </c>
    </row>
    <row r="277" spans="1:13" x14ac:dyDescent="0.3">
      <c r="A277" s="7">
        <v>3</v>
      </c>
      <c r="B277" s="2">
        <v>276</v>
      </c>
      <c r="C277" s="66">
        <v>2</v>
      </c>
      <c r="D277" s="66" t="s">
        <v>80</v>
      </c>
      <c r="E277" s="69" t="s">
        <v>40</v>
      </c>
      <c r="F277" s="27" t="s">
        <v>10</v>
      </c>
      <c r="G277" s="27" t="s">
        <v>60</v>
      </c>
      <c r="H277" s="68"/>
      <c r="I277" s="68" t="s">
        <v>150</v>
      </c>
      <c r="J277" s="37">
        <f>IF(Table1214[[#This Row],[modality]]=D276,1,0)</f>
        <v>0</v>
      </c>
      <c r="K277" s="68">
        <f>IF(Table1214[[#This Row],[stimulus]]=G278, 1, 0)</f>
        <v>0</v>
      </c>
      <c r="L277" s="68">
        <f t="shared" si="26"/>
        <v>0</v>
      </c>
      <c r="M277" s="68">
        <f t="shared" si="27"/>
        <v>0</v>
      </c>
    </row>
    <row r="278" spans="1:13" x14ac:dyDescent="0.3">
      <c r="A278" s="7">
        <v>3</v>
      </c>
      <c r="B278" s="2">
        <v>277</v>
      </c>
      <c r="C278" s="40">
        <v>1</v>
      </c>
      <c r="D278" s="40" t="s">
        <v>81</v>
      </c>
      <c r="E278" s="40" t="s">
        <v>29</v>
      </c>
      <c r="F278" s="15" t="s">
        <v>42</v>
      </c>
      <c r="G278" s="15" t="s">
        <v>51</v>
      </c>
      <c r="H278" s="68"/>
      <c r="I278" s="68"/>
      <c r="J278" s="37">
        <f>IF(Table1214[[#This Row],[modality]]=D277,1,0)</f>
        <v>0</v>
      </c>
      <c r="K278" s="68">
        <f>IF(Table1214[[#This Row],[stimulus]]=G279, 1, 0)</f>
        <v>0</v>
      </c>
      <c r="L278" s="68">
        <f t="shared" si="26"/>
        <v>1</v>
      </c>
      <c r="M278" s="68">
        <f t="shared" si="27"/>
        <v>0</v>
      </c>
    </row>
    <row r="279" spans="1:13" x14ac:dyDescent="0.3">
      <c r="A279" s="7">
        <v>3</v>
      </c>
      <c r="B279" s="2">
        <v>278</v>
      </c>
      <c r="C279" s="66">
        <v>2</v>
      </c>
      <c r="D279" s="66" t="s">
        <v>80</v>
      </c>
      <c r="E279" s="69" t="s">
        <v>0</v>
      </c>
      <c r="F279" s="27" t="s">
        <v>41</v>
      </c>
      <c r="G279" s="27" t="s">
        <v>64</v>
      </c>
      <c r="H279" s="68"/>
      <c r="I279" s="68" t="s">
        <v>151</v>
      </c>
      <c r="J279" s="37">
        <f>IF(Table1214[[#This Row],[modality]]=D278,1,0)</f>
        <v>0</v>
      </c>
      <c r="K279" s="68">
        <f>IF(Table1214[[#This Row],[stimulus]]=G280, 1, 0)</f>
        <v>1</v>
      </c>
      <c r="L279" s="68">
        <f t="shared" si="26"/>
        <v>0</v>
      </c>
      <c r="M279" s="68">
        <f t="shared" si="27"/>
        <v>1</v>
      </c>
    </row>
    <row r="280" spans="1:13" x14ac:dyDescent="0.3">
      <c r="A280" s="7">
        <v>3</v>
      </c>
      <c r="B280" s="2">
        <v>279</v>
      </c>
      <c r="C280" s="36">
        <v>2</v>
      </c>
      <c r="D280" s="36" t="s">
        <v>80</v>
      </c>
      <c r="E280" s="42" t="s">
        <v>40</v>
      </c>
      <c r="F280" s="15" t="s">
        <v>9</v>
      </c>
      <c r="G280" s="15" t="s">
        <v>64</v>
      </c>
      <c r="H280" s="68"/>
      <c r="I280" s="68" t="s">
        <v>150</v>
      </c>
      <c r="J280" s="37">
        <f>IF(Table1214[[#This Row],[modality]]=D279,1,0)</f>
        <v>1</v>
      </c>
      <c r="K280" s="68">
        <f>IF(Table1214[[#This Row],[stimulus]]=G281, 1, 0)</f>
        <v>0</v>
      </c>
      <c r="L280" s="68">
        <f t="shared" si="26"/>
        <v>0</v>
      </c>
      <c r="M280" s="68">
        <f t="shared" si="27"/>
        <v>0</v>
      </c>
    </row>
    <row r="281" spans="1:13" x14ac:dyDescent="0.3">
      <c r="A281" s="7">
        <v>3</v>
      </c>
      <c r="B281" s="2">
        <v>280</v>
      </c>
      <c r="C281" s="40">
        <v>1</v>
      </c>
      <c r="D281" s="40" t="s">
        <v>81</v>
      </c>
      <c r="E281" s="40" t="s">
        <v>29</v>
      </c>
      <c r="F281" s="27" t="s">
        <v>42</v>
      </c>
      <c r="G281" s="27" t="s">
        <v>57</v>
      </c>
      <c r="H281" s="68"/>
      <c r="I281" s="68"/>
      <c r="J281" s="37">
        <f>IF(Table1214[[#This Row],[modality]]=D280,1,0)</f>
        <v>0</v>
      </c>
      <c r="K281" s="68">
        <f>IF(Table1214[[#This Row],[stimulus]]=G283, 1, 0)</f>
        <v>0</v>
      </c>
      <c r="L281" s="68">
        <f t="shared" si="26"/>
        <v>1</v>
      </c>
      <c r="M281" s="68">
        <f t="shared" si="27"/>
        <v>0</v>
      </c>
    </row>
    <row r="282" spans="1:13" x14ac:dyDescent="0.3">
      <c r="A282" s="4">
        <v>3</v>
      </c>
      <c r="B282" s="2">
        <v>281</v>
      </c>
      <c r="C282" s="81">
        <v>1</v>
      </c>
      <c r="D282" s="81" t="s">
        <v>81</v>
      </c>
      <c r="E282" s="81" t="s">
        <v>29</v>
      </c>
      <c r="F282" s="82" t="s">
        <v>42</v>
      </c>
      <c r="G282" s="82" t="s">
        <v>58</v>
      </c>
      <c r="H282" s="68"/>
      <c r="I282" s="68" t="s">
        <v>151</v>
      </c>
      <c r="J282" s="37">
        <f>IF(Table1214[[#This Row],[modality]]=D281,1,0)</f>
        <v>1</v>
      </c>
      <c r="K282" s="68">
        <f>IF(Table1214[[#This Row],[stimulus]]=G283, 1, 0)</f>
        <v>0</v>
      </c>
      <c r="L282" s="68">
        <f t="shared" si="26"/>
        <v>0</v>
      </c>
      <c r="M282" s="68">
        <f t="shared" si="27"/>
        <v>1</v>
      </c>
    </row>
    <row r="283" spans="1:13" x14ac:dyDescent="0.3">
      <c r="A283" s="7">
        <v>3</v>
      </c>
      <c r="B283" s="2">
        <v>282</v>
      </c>
      <c r="C283" s="36">
        <v>2</v>
      </c>
      <c r="D283" s="36" t="s">
        <v>80</v>
      </c>
      <c r="E283" s="42" t="s">
        <v>0</v>
      </c>
      <c r="F283" s="15" t="s">
        <v>41</v>
      </c>
      <c r="G283" s="15" t="s">
        <v>66</v>
      </c>
      <c r="H283" s="68"/>
      <c r="I283" s="68" t="s">
        <v>151</v>
      </c>
      <c r="J283" s="37">
        <f>IF(Table1214[[#This Row],[modality]]=D281,1,0)</f>
        <v>0</v>
      </c>
      <c r="K283" s="68">
        <f>IF(Table1214[[#This Row],[stimulus]]=G284, 1, 0)</f>
        <v>1</v>
      </c>
      <c r="L283" s="68">
        <f>IF(E281="T",1,0)</f>
        <v>0</v>
      </c>
      <c r="M283" s="68">
        <f>IF(E281="F",1,0)</f>
        <v>1</v>
      </c>
    </row>
    <row r="284" spans="1:13" x14ac:dyDescent="0.3">
      <c r="A284" s="7">
        <v>3</v>
      </c>
      <c r="B284" s="2">
        <v>283</v>
      </c>
      <c r="C284" s="66">
        <v>2</v>
      </c>
      <c r="D284" s="66" t="s">
        <v>80</v>
      </c>
      <c r="E284" s="69" t="s">
        <v>40</v>
      </c>
      <c r="F284" s="27" t="s">
        <v>9</v>
      </c>
      <c r="G284" s="27" t="s">
        <v>66</v>
      </c>
      <c r="H284" s="68"/>
      <c r="I284" s="68" t="s">
        <v>150</v>
      </c>
      <c r="J284" s="37">
        <f>IF(Table1214[[#This Row],[modality]]=D283,1,0)</f>
        <v>1</v>
      </c>
      <c r="K284" s="68">
        <f>IF(Table1214[[#This Row],[stimulus]]=G285, 1, 0)</f>
        <v>0</v>
      </c>
      <c r="L284" s="68">
        <f t="shared" ref="L284:L303" si="28">IF(E283="T",1,0)</f>
        <v>0</v>
      </c>
      <c r="M284" s="68">
        <f t="shared" ref="M284:M303" si="29">IF(E283="F",1,0)</f>
        <v>0</v>
      </c>
    </row>
    <row r="285" spans="1:13" x14ac:dyDescent="0.3">
      <c r="A285" s="7">
        <v>3</v>
      </c>
      <c r="B285" s="2">
        <v>284</v>
      </c>
      <c r="C285" s="36">
        <v>2</v>
      </c>
      <c r="D285" s="36" t="s">
        <v>80</v>
      </c>
      <c r="E285" s="42" t="s">
        <v>0</v>
      </c>
      <c r="F285" s="15" t="s">
        <v>41</v>
      </c>
      <c r="G285" s="15" t="s">
        <v>63</v>
      </c>
      <c r="H285" s="68"/>
      <c r="I285" s="68" t="s">
        <v>151</v>
      </c>
      <c r="J285" s="37">
        <f>IF(Table1214[[#This Row],[modality]]=D284,1,0)</f>
        <v>1</v>
      </c>
      <c r="K285" s="68">
        <f>IF(Table1214[[#This Row],[stimulus]]=G286, 1, 0)</f>
        <v>1</v>
      </c>
      <c r="L285" s="68">
        <f t="shared" si="28"/>
        <v>1</v>
      </c>
      <c r="M285" s="68">
        <f t="shared" si="29"/>
        <v>0</v>
      </c>
    </row>
    <row r="286" spans="1:13" x14ac:dyDescent="0.3">
      <c r="A286" s="7">
        <v>3</v>
      </c>
      <c r="B286" s="2">
        <v>285</v>
      </c>
      <c r="C286" s="66">
        <v>1</v>
      </c>
      <c r="D286" s="66" t="s">
        <v>81</v>
      </c>
      <c r="E286" s="69" t="s">
        <v>40</v>
      </c>
      <c r="F286" s="27" t="s">
        <v>10</v>
      </c>
      <c r="G286" s="27" t="s">
        <v>63</v>
      </c>
      <c r="H286" s="68"/>
      <c r="I286" s="68" t="s">
        <v>150</v>
      </c>
      <c r="J286" s="37">
        <f>IF(Table1214[[#This Row],[modality]]=D285,1,0)</f>
        <v>0</v>
      </c>
      <c r="K286" s="68">
        <f>IF(Table1214[[#This Row],[stimulus]]=G287, 1, 0)</f>
        <v>0</v>
      </c>
      <c r="L286" s="68">
        <f t="shared" si="28"/>
        <v>0</v>
      </c>
      <c r="M286" s="68">
        <f t="shared" si="29"/>
        <v>0</v>
      </c>
    </row>
    <row r="287" spans="1:13" x14ac:dyDescent="0.3">
      <c r="A287" s="7">
        <v>3</v>
      </c>
      <c r="B287" s="2">
        <v>286</v>
      </c>
      <c r="C287" s="40">
        <v>2</v>
      </c>
      <c r="D287" s="40" t="s">
        <v>80</v>
      </c>
      <c r="E287" s="40" t="s">
        <v>29</v>
      </c>
      <c r="F287" s="15" t="s">
        <v>42</v>
      </c>
      <c r="G287" s="15" t="s">
        <v>55</v>
      </c>
      <c r="H287" s="68"/>
      <c r="I287" s="68"/>
      <c r="J287" s="37">
        <f>IF(Table1214[[#This Row],[modality]]=D286,1,0)</f>
        <v>0</v>
      </c>
      <c r="K287" s="68">
        <f>IF(Table1214[[#This Row],[stimulus]]=G288, 1, 0)</f>
        <v>0</v>
      </c>
      <c r="L287" s="68">
        <f t="shared" si="28"/>
        <v>1</v>
      </c>
      <c r="M287" s="68">
        <f t="shared" si="29"/>
        <v>0</v>
      </c>
    </row>
    <row r="288" spans="1:13" x14ac:dyDescent="0.3">
      <c r="A288" s="7">
        <v>3</v>
      </c>
      <c r="B288" s="2">
        <v>287</v>
      </c>
      <c r="C288" s="40">
        <v>1</v>
      </c>
      <c r="D288" s="40" t="s">
        <v>81</v>
      </c>
      <c r="E288" s="40" t="s">
        <v>29</v>
      </c>
      <c r="F288" s="27" t="s">
        <v>42</v>
      </c>
      <c r="G288" s="27" t="s">
        <v>54</v>
      </c>
      <c r="H288" s="68"/>
      <c r="I288" s="68" t="s">
        <v>151</v>
      </c>
      <c r="J288" s="37">
        <f>IF(Table1214[[#This Row],[modality]]=D287,1,0)</f>
        <v>0</v>
      </c>
      <c r="K288" s="68">
        <f>IF(Table1214[[#This Row],[stimulus]]=G289, 1, 0)</f>
        <v>0</v>
      </c>
      <c r="L288" s="68">
        <f t="shared" si="28"/>
        <v>0</v>
      </c>
      <c r="M288" s="68">
        <f t="shared" si="29"/>
        <v>1</v>
      </c>
    </row>
    <row r="289" spans="1:13" x14ac:dyDescent="0.3">
      <c r="A289" s="7">
        <v>3</v>
      </c>
      <c r="B289" s="2">
        <v>288</v>
      </c>
      <c r="C289" s="37">
        <v>1</v>
      </c>
      <c r="D289" s="37" t="s">
        <v>81</v>
      </c>
      <c r="E289" s="43" t="s">
        <v>0</v>
      </c>
      <c r="F289" s="4" t="s">
        <v>41</v>
      </c>
      <c r="G289" s="4" t="s">
        <v>61</v>
      </c>
      <c r="H289" s="68"/>
      <c r="I289" s="68" t="s">
        <v>151</v>
      </c>
      <c r="J289" s="37">
        <f>IF(Table1214[[#This Row],[modality]]=D288,1,0)</f>
        <v>1</v>
      </c>
      <c r="K289" s="68">
        <f>IF(Table1214[[#This Row],[stimulus]]=G290, 1, 0)</f>
        <v>1</v>
      </c>
      <c r="L289" s="68">
        <f t="shared" si="28"/>
        <v>0</v>
      </c>
      <c r="M289" s="68">
        <f t="shared" si="29"/>
        <v>1</v>
      </c>
    </row>
    <row r="290" spans="1:13" x14ac:dyDescent="0.3">
      <c r="A290" s="7">
        <v>3</v>
      </c>
      <c r="B290" s="2">
        <v>289</v>
      </c>
      <c r="C290" s="36">
        <v>1</v>
      </c>
      <c r="D290" s="36" t="s">
        <v>81</v>
      </c>
      <c r="E290" s="42" t="s">
        <v>40</v>
      </c>
      <c r="F290" s="15" t="s">
        <v>9</v>
      </c>
      <c r="G290" s="15" t="s">
        <v>61</v>
      </c>
      <c r="H290" s="68"/>
      <c r="I290" s="68" t="s">
        <v>150</v>
      </c>
      <c r="J290" s="37">
        <f>IF(Table1214[[#This Row],[modality]]=D289,1,0)</f>
        <v>1</v>
      </c>
      <c r="K290" s="68">
        <f>IF(Table1214[[#This Row],[stimulus]]=G291, 1, 0)</f>
        <v>0</v>
      </c>
      <c r="L290" s="68">
        <f t="shared" si="28"/>
        <v>0</v>
      </c>
      <c r="M290" s="68">
        <f t="shared" si="29"/>
        <v>0</v>
      </c>
    </row>
    <row r="291" spans="1:13" x14ac:dyDescent="0.3">
      <c r="A291" s="7">
        <v>3</v>
      </c>
      <c r="B291" s="2">
        <v>290</v>
      </c>
      <c r="C291" s="40">
        <v>2</v>
      </c>
      <c r="D291" s="40" t="s">
        <v>80</v>
      </c>
      <c r="E291" s="40" t="s">
        <v>29</v>
      </c>
      <c r="F291" s="4" t="s">
        <v>42</v>
      </c>
      <c r="G291" s="4" t="s">
        <v>56</v>
      </c>
      <c r="H291" s="68"/>
      <c r="I291" s="68"/>
      <c r="J291" s="37">
        <f>IF(Table1214[[#This Row],[modality]]=D290,1,0)</f>
        <v>0</v>
      </c>
      <c r="K291" s="68">
        <f>IF(Table1214[[#This Row],[stimulus]]=G292, 1, 0)</f>
        <v>0</v>
      </c>
      <c r="L291" s="68">
        <f t="shared" si="28"/>
        <v>1</v>
      </c>
      <c r="M291" s="68">
        <f t="shared" si="29"/>
        <v>0</v>
      </c>
    </row>
    <row r="292" spans="1:13" x14ac:dyDescent="0.3">
      <c r="A292" s="7">
        <v>3</v>
      </c>
      <c r="B292" s="2">
        <v>291</v>
      </c>
      <c r="C292" s="36">
        <v>1</v>
      </c>
      <c r="D292" s="36" t="s">
        <v>81</v>
      </c>
      <c r="E292" s="42" t="s">
        <v>0</v>
      </c>
      <c r="F292" s="15" t="s">
        <v>41</v>
      </c>
      <c r="G292" s="15" t="s">
        <v>59</v>
      </c>
      <c r="H292" s="68"/>
      <c r="I292" s="68" t="s">
        <v>151</v>
      </c>
      <c r="J292" s="37">
        <f>IF(Table1214[[#This Row],[modality]]=D291,1,0)</f>
        <v>0</v>
      </c>
      <c r="K292" s="68">
        <f>IF(Table1214[[#This Row],[stimulus]]=G293, 1, 0)</f>
        <v>1</v>
      </c>
      <c r="L292" s="68">
        <f t="shared" si="28"/>
        <v>0</v>
      </c>
      <c r="M292" s="68">
        <f t="shared" si="29"/>
        <v>1</v>
      </c>
    </row>
    <row r="293" spans="1:13" x14ac:dyDescent="0.3">
      <c r="A293" s="7">
        <v>3</v>
      </c>
      <c r="B293" s="2">
        <v>292</v>
      </c>
      <c r="C293" s="37">
        <v>1</v>
      </c>
      <c r="D293" s="37" t="s">
        <v>81</v>
      </c>
      <c r="E293" s="43" t="s">
        <v>40</v>
      </c>
      <c r="F293" s="4" t="s">
        <v>9</v>
      </c>
      <c r="G293" s="4" t="s">
        <v>59</v>
      </c>
      <c r="H293" s="68"/>
      <c r="I293" s="68" t="s">
        <v>150</v>
      </c>
      <c r="J293" s="37">
        <f>IF(Table1214[[#This Row],[modality]]=D292,1,0)</f>
        <v>1</v>
      </c>
      <c r="K293" s="68">
        <f>IF(Table1214[[#This Row],[stimulus]]=G294, 1, 0)</f>
        <v>0</v>
      </c>
      <c r="L293" s="68">
        <f t="shared" si="28"/>
        <v>0</v>
      </c>
      <c r="M293" s="68">
        <f t="shared" si="29"/>
        <v>0</v>
      </c>
    </row>
    <row r="294" spans="1:13" x14ac:dyDescent="0.3">
      <c r="A294" s="7">
        <v>3</v>
      </c>
      <c r="B294" s="2">
        <v>293</v>
      </c>
      <c r="C294" s="40">
        <v>2</v>
      </c>
      <c r="D294" s="40" t="s">
        <v>80</v>
      </c>
      <c r="E294" s="40" t="s">
        <v>29</v>
      </c>
      <c r="F294" s="15" t="s">
        <v>42</v>
      </c>
      <c r="G294" s="15" t="s">
        <v>58</v>
      </c>
      <c r="H294" s="68"/>
      <c r="I294" s="68"/>
      <c r="J294" s="37">
        <f>IF(Table1214[[#This Row],[modality]]=D293,1,0)</f>
        <v>0</v>
      </c>
      <c r="K294" s="68">
        <f>IF(Table1214[[#This Row],[stimulus]]=G295, 1, 0)</f>
        <v>0</v>
      </c>
      <c r="L294" s="68">
        <f t="shared" si="28"/>
        <v>1</v>
      </c>
      <c r="M294" s="68">
        <f t="shared" si="29"/>
        <v>0</v>
      </c>
    </row>
    <row r="295" spans="1:13" x14ac:dyDescent="0.3">
      <c r="A295" s="4">
        <v>4</v>
      </c>
      <c r="B295" s="2">
        <v>294</v>
      </c>
      <c r="C295" s="37">
        <v>1</v>
      </c>
      <c r="D295" s="37" t="s">
        <v>81</v>
      </c>
      <c r="E295" s="43" t="s">
        <v>0</v>
      </c>
      <c r="F295" s="4" t="s">
        <v>41</v>
      </c>
      <c r="G295" s="4" t="s">
        <v>71</v>
      </c>
      <c r="H295" s="68"/>
      <c r="I295" s="68" t="s">
        <v>151</v>
      </c>
      <c r="J295" s="37">
        <f>IF(Table1214[[#This Row],[modality]]=D294,1,0)</f>
        <v>0</v>
      </c>
      <c r="K295" s="68">
        <f>IF(Table1214[[#This Row],[stimulus]]=G296, 1, 0)</f>
        <v>1</v>
      </c>
      <c r="L295" s="68">
        <f t="shared" si="28"/>
        <v>0</v>
      </c>
      <c r="M295" s="68">
        <f t="shared" si="29"/>
        <v>1</v>
      </c>
    </row>
    <row r="296" spans="1:13" x14ac:dyDescent="0.3">
      <c r="A296" s="4">
        <v>4</v>
      </c>
      <c r="B296" s="2">
        <v>295</v>
      </c>
      <c r="C296" s="36">
        <v>1</v>
      </c>
      <c r="D296" s="36" t="s">
        <v>81</v>
      </c>
      <c r="E296" s="42" t="s">
        <v>40</v>
      </c>
      <c r="F296" s="15" t="s">
        <v>9</v>
      </c>
      <c r="G296" s="15" t="s">
        <v>71</v>
      </c>
      <c r="H296" s="68"/>
      <c r="I296" s="68" t="s">
        <v>150</v>
      </c>
      <c r="J296" s="37">
        <f>IF(Table1214[[#This Row],[modality]]=D295,1,0)</f>
        <v>1</v>
      </c>
      <c r="K296" s="68">
        <f>IF(Table1214[[#This Row],[stimulus]]=G297, 1, 0)</f>
        <v>0</v>
      </c>
      <c r="L296" s="68">
        <f t="shared" si="28"/>
        <v>0</v>
      </c>
      <c r="M296" s="68">
        <f t="shared" si="29"/>
        <v>0</v>
      </c>
    </row>
    <row r="297" spans="1:13" x14ac:dyDescent="0.3">
      <c r="A297" s="4">
        <v>4</v>
      </c>
      <c r="B297" s="2">
        <v>296</v>
      </c>
      <c r="C297" s="41">
        <v>2</v>
      </c>
      <c r="D297" s="41" t="s">
        <v>80</v>
      </c>
      <c r="E297" s="41" t="s">
        <v>29</v>
      </c>
      <c r="F297" s="4" t="s">
        <v>42</v>
      </c>
      <c r="G297" s="4" t="s">
        <v>62</v>
      </c>
      <c r="H297" s="68"/>
      <c r="I297" s="68"/>
      <c r="J297" s="37">
        <f>IF(Table1214[[#This Row],[modality]]=D296,1,0)</f>
        <v>0</v>
      </c>
      <c r="K297" s="68">
        <f>IF(Table1214[[#This Row],[stimulus]]=G298, 1, 0)</f>
        <v>0</v>
      </c>
      <c r="L297" s="68">
        <f t="shared" si="28"/>
        <v>1</v>
      </c>
      <c r="M297" s="68">
        <f t="shared" si="29"/>
        <v>0</v>
      </c>
    </row>
    <row r="298" spans="1:13" x14ac:dyDescent="0.3">
      <c r="A298" s="4">
        <v>4</v>
      </c>
      <c r="B298" s="2">
        <v>297</v>
      </c>
      <c r="C298" s="36">
        <v>1</v>
      </c>
      <c r="D298" s="36" t="s">
        <v>81</v>
      </c>
      <c r="E298" s="42" t="s">
        <v>0</v>
      </c>
      <c r="F298" s="15" t="s">
        <v>41</v>
      </c>
      <c r="G298" s="15" t="s">
        <v>69</v>
      </c>
      <c r="H298" s="68"/>
      <c r="I298" s="68" t="s">
        <v>151</v>
      </c>
      <c r="J298" s="37">
        <f>IF(Table1214[[#This Row],[modality]]=D297,1,0)</f>
        <v>0</v>
      </c>
      <c r="K298" s="68">
        <f>IF(Table1214[[#This Row],[stimulus]]=G299, 1, 0)</f>
        <v>1</v>
      </c>
      <c r="L298" s="68">
        <f t="shared" si="28"/>
        <v>0</v>
      </c>
      <c r="M298" s="68">
        <f t="shared" si="29"/>
        <v>1</v>
      </c>
    </row>
    <row r="299" spans="1:13" x14ac:dyDescent="0.3">
      <c r="A299" s="4">
        <v>4</v>
      </c>
      <c r="B299" s="2">
        <v>298</v>
      </c>
      <c r="C299" s="37">
        <v>2</v>
      </c>
      <c r="D299" s="37" t="s">
        <v>80</v>
      </c>
      <c r="E299" s="43" t="s">
        <v>40</v>
      </c>
      <c r="F299" s="4" t="s">
        <v>10</v>
      </c>
      <c r="G299" s="4" t="s">
        <v>69</v>
      </c>
      <c r="H299" s="68"/>
      <c r="I299" s="68" t="s">
        <v>150</v>
      </c>
      <c r="J299" s="37">
        <f>IF(Table1214[[#This Row],[modality]]=D298,1,0)</f>
        <v>0</v>
      </c>
      <c r="K299" s="68">
        <f>IF(Table1214[[#This Row],[stimulus]]=G300, 1, 0)</f>
        <v>0</v>
      </c>
      <c r="L299" s="68">
        <f t="shared" si="28"/>
        <v>0</v>
      </c>
      <c r="M299" s="68">
        <f t="shared" si="29"/>
        <v>0</v>
      </c>
    </row>
    <row r="300" spans="1:13" x14ac:dyDescent="0.3">
      <c r="A300" s="4">
        <v>4</v>
      </c>
      <c r="B300" s="2">
        <v>299</v>
      </c>
      <c r="C300" s="36">
        <v>2</v>
      </c>
      <c r="D300" s="36" t="s">
        <v>80</v>
      </c>
      <c r="E300" s="42" t="s">
        <v>0</v>
      </c>
      <c r="F300" s="15" t="s">
        <v>41</v>
      </c>
      <c r="G300" s="15" t="s">
        <v>73</v>
      </c>
      <c r="H300" s="68"/>
      <c r="I300" s="68" t="s">
        <v>151</v>
      </c>
      <c r="J300" s="37">
        <f>IF(Table1214[[#This Row],[modality]]=D299,1,0)</f>
        <v>1</v>
      </c>
      <c r="K300" s="68">
        <f>IF(Table1214[[#This Row],[stimulus]]=G301, 1, 0)</f>
        <v>1</v>
      </c>
      <c r="L300" s="68">
        <f t="shared" si="28"/>
        <v>1</v>
      </c>
      <c r="M300" s="68">
        <f t="shared" si="29"/>
        <v>0</v>
      </c>
    </row>
    <row r="301" spans="1:13" x14ac:dyDescent="0.3">
      <c r="A301" s="4">
        <v>4</v>
      </c>
      <c r="B301" s="2">
        <v>300</v>
      </c>
      <c r="C301" s="37">
        <v>2</v>
      </c>
      <c r="D301" s="37" t="s">
        <v>80</v>
      </c>
      <c r="E301" s="43" t="s">
        <v>40</v>
      </c>
      <c r="F301" s="4" t="s">
        <v>9</v>
      </c>
      <c r="G301" s="4" t="s">
        <v>73</v>
      </c>
      <c r="H301" s="68"/>
      <c r="I301" s="68" t="s">
        <v>150</v>
      </c>
      <c r="J301" s="37">
        <f>IF(Table1214[[#This Row],[modality]]=D300,1,0)</f>
        <v>1</v>
      </c>
      <c r="K301" s="68">
        <f>IF(Table1214[[#This Row],[stimulus]]=G302, 1, 0)</f>
        <v>0</v>
      </c>
      <c r="L301" s="68">
        <f t="shared" si="28"/>
        <v>0</v>
      </c>
      <c r="M301" s="68">
        <f t="shared" si="29"/>
        <v>0</v>
      </c>
    </row>
    <row r="302" spans="1:13" x14ac:dyDescent="0.3">
      <c r="A302" s="4">
        <v>4</v>
      </c>
      <c r="B302" s="2">
        <v>301</v>
      </c>
      <c r="C302" s="41">
        <v>1</v>
      </c>
      <c r="D302" s="41" t="s">
        <v>81</v>
      </c>
      <c r="E302" s="41" t="s">
        <v>29</v>
      </c>
      <c r="F302" s="15" t="s">
        <v>42</v>
      </c>
      <c r="G302" s="15" t="s">
        <v>65</v>
      </c>
      <c r="H302" s="68"/>
      <c r="I302" s="68"/>
      <c r="J302" s="37">
        <f>IF(Table1214[[#This Row],[modality]]=D301,1,0)</f>
        <v>0</v>
      </c>
      <c r="K302" s="68">
        <f>IF(Table1214[[#This Row],[stimulus]]=G304, 1, 0)</f>
        <v>0</v>
      </c>
      <c r="L302" s="68">
        <f t="shared" si="28"/>
        <v>1</v>
      </c>
      <c r="M302" s="68">
        <f t="shared" si="29"/>
        <v>0</v>
      </c>
    </row>
    <row r="303" spans="1:13" x14ac:dyDescent="0.3">
      <c r="A303" s="4">
        <v>4</v>
      </c>
      <c r="B303" s="2">
        <v>302</v>
      </c>
      <c r="C303" s="81">
        <v>1</v>
      </c>
      <c r="D303" s="81" t="s">
        <v>81</v>
      </c>
      <c r="E303" s="81" t="s">
        <v>29</v>
      </c>
      <c r="F303" s="82" t="s">
        <v>42</v>
      </c>
      <c r="G303" s="82" t="s">
        <v>59</v>
      </c>
      <c r="H303" s="68"/>
      <c r="I303" s="68" t="s">
        <v>151</v>
      </c>
      <c r="J303" s="37">
        <f>IF(Table1214[[#This Row],[modality]]=D302,1,0)</f>
        <v>1</v>
      </c>
      <c r="K303" s="68">
        <f>IF(Table1214[[#This Row],[stimulus]]=G304, 1, 0)</f>
        <v>0</v>
      </c>
      <c r="L303" s="68">
        <f t="shared" si="28"/>
        <v>0</v>
      </c>
      <c r="M303" s="68">
        <f t="shared" si="29"/>
        <v>1</v>
      </c>
    </row>
    <row r="304" spans="1:13" x14ac:dyDescent="0.3">
      <c r="A304" s="4">
        <v>4</v>
      </c>
      <c r="B304" s="2">
        <v>303</v>
      </c>
      <c r="C304" s="41">
        <v>2</v>
      </c>
      <c r="D304" s="41" t="s">
        <v>80</v>
      </c>
      <c r="E304" s="41" t="s">
        <v>29</v>
      </c>
      <c r="F304" s="4" t="s">
        <v>42</v>
      </c>
      <c r="G304" s="4" t="s">
        <v>60</v>
      </c>
      <c r="H304" s="68"/>
      <c r="I304" s="68" t="s">
        <v>151</v>
      </c>
      <c r="J304" s="37">
        <f>IF(Table1214[[#This Row],[modality]]=D302,1,0)</f>
        <v>0</v>
      </c>
      <c r="K304" s="68">
        <f>IF(Table1214[[#This Row],[stimulus]]=G305, 1, 0)</f>
        <v>0</v>
      </c>
      <c r="L304" s="68">
        <f>IF(E302="T",1,0)</f>
        <v>0</v>
      </c>
      <c r="M304" s="68">
        <f>IF(E302="F",1,0)</f>
        <v>1</v>
      </c>
    </row>
    <row r="305" spans="1:13" x14ac:dyDescent="0.3">
      <c r="A305" s="4">
        <v>4</v>
      </c>
      <c r="B305" s="2">
        <v>304</v>
      </c>
      <c r="C305" s="36">
        <v>2</v>
      </c>
      <c r="D305" s="36" t="s">
        <v>80</v>
      </c>
      <c r="E305" s="42" t="s">
        <v>0</v>
      </c>
      <c r="F305" s="15" t="s">
        <v>41</v>
      </c>
      <c r="G305" s="15" t="s">
        <v>70</v>
      </c>
      <c r="H305" s="68"/>
      <c r="I305" s="68" t="s">
        <v>151</v>
      </c>
      <c r="J305" s="37">
        <f>IF(Table1214[[#This Row],[modality]]=D304,1,0)</f>
        <v>1</v>
      </c>
      <c r="K305" s="68">
        <f>IF(Table1214[[#This Row],[stimulus]]=G306, 1, 0)</f>
        <v>1</v>
      </c>
      <c r="L305" s="68">
        <f t="shared" ref="L305:L326" si="30">IF(E304="T",1,0)</f>
        <v>0</v>
      </c>
      <c r="M305" s="68">
        <f t="shared" ref="M305:M326" si="31">IF(E304="F",1,0)</f>
        <v>1</v>
      </c>
    </row>
    <row r="306" spans="1:13" x14ac:dyDescent="0.3">
      <c r="A306" s="4">
        <v>4</v>
      </c>
      <c r="B306" s="2">
        <v>305</v>
      </c>
      <c r="C306" s="37">
        <v>1</v>
      </c>
      <c r="D306" s="37" t="s">
        <v>81</v>
      </c>
      <c r="E306" s="43" t="s">
        <v>40</v>
      </c>
      <c r="F306" s="4" t="s">
        <v>10</v>
      </c>
      <c r="G306" s="4" t="s">
        <v>70</v>
      </c>
      <c r="H306" s="68"/>
      <c r="I306" s="68" t="s">
        <v>150</v>
      </c>
      <c r="J306" s="37">
        <f>IF(Table1214[[#This Row],[modality]]=D305,1,0)</f>
        <v>0</v>
      </c>
      <c r="K306" s="68">
        <f>IF(Table1214[[#This Row],[stimulus]]=G307, 1, 0)</f>
        <v>0</v>
      </c>
      <c r="L306" s="68">
        <f t="shared" si="30"/>
        <v>0</v>
      </c>
      <c r="M306" s="68">
        <f t="shared" si="31"/>
        <v>0</v>
      </c>
    </row>
    <row r="307" spans="1:13" x14ac:dyDescent="0.3">
      <c r="A307" s="4">
        <v>4</v>
      </c>
      <c r="B307" s="2">
        <v>306</v>
      </c>
      <c r="C307" s="36">
        <v>1</v>
      </c>
      <c r="D307" s="36" t="s">
        <v>81</v>
      </c>
      <c r="E307" s="42" t="s">
        <v>0</v>
      </c>
      <c r="F307" s="15" t="s">
        <v>41</v>
      </c>
      <c r="G307" s="15" t="s">
        <v>74</v>
      </c>
      <c r="H307" s="68"/>
      <c r="I307" s="68" t="s">
        <v>151</v>
      </c>
      <c r="J307" s="37">
        <f>IF(Table1214[[#This Row],[modality]]=D306,1,0)</f>
        <v>1</v>
      </c>
      <c r="K307" s="68">
        <f>IF(Table1214[[#This Row],[stimulus]]=G308, 1, 0)</f>
        <v>1</v>
      </c>
      <c r="L307" s="68">
        <f t="shared" si="30"/>
        <v>1</v>
      </c>
      <c r="M307" s="68">
        <f t="shared" si="31"/>
        <v>0</v>
      </c>
    </row>
    <row r="308" spans="1:13" x14ac:dyDescent="0.3">
      <c r="A308" s="4">
        <v>4</v>
      </c>
      <c r="B308" s="2">
        <v>307</v>
      </c>
      <c r="C308" s="37">
        <v>2</v>
      </c>
      <c r="D308" s="37" t="s">
        <v>80</v>
      </c>
      <c r="E308" s="43" t="s">
        <v>40</v>
      </c>
      <c r="F308" s="4" t="s">
        <v>10</v>
      </c>
      <c r="G308" s="4" t="s">
        <v>74</v>
      </c>
      <c r="H308" s="68"/>
      <c r="I308" s="68" t="s">
        <v>150</v>
      </c>
      <c r="J308" s="37">
        <f>IF(Table1214[[#This Row],[modality]]=D307,1,0)</f>
        <v>0</v>
      </c>
      <c r="K308" s="68">
        <f>IF(Table1214[[#This Row],[stimulus]]=G309, 1, 0)</f>
        <v>0</v>
      </c>
      <c r="L308" s="68">
        <f t="shared" si="30"/>
        <v>0</v>
      </c>
      <c r="M308" s="68">
        <f t="shared" si="31"/>
        <v>0</v>
      </c>
    </row>
    <row r="309" spans="1:13" x14ac:dyDescent="0.3">
      <c r="A309" s="4">
        <v>4</v>
      </c>
      <c r="B309" s="2">
        <v>308</v>
      </c>
      <c r="C309" s="41">
        <v>1</v>
      </c>
      <c r="D309" s="41" t="s">
        <v>81</v>
      </c>
      <c r="E309" s="41" t="s">
        <v>29</v>
      </c>
      <c r="F309" s="15" t="s">
        <v>42</v>
      </c>
      <c r="G309" s="15" t="s">
        <v>64</v>
      </c>
      <c r="H309" s="68"/>
      <c r="I309" s="68"/>
      <c r="J309" s="37">
        <f>IF(Table1214[[#This Row],[modality]]=D308,1,0)</f>
        <v>0</v>
      </c>
      <c r="K309" s="68">
        <f>IF(Table1214[[#This Row],[stimulus]]=G310, 1, 0)</f>
        <v>0</v>
      </c>
      <c r="L309" s="68">
        <f t="shared" si="30"/>
        <v>1</v>
      </c>
      <c r="M309" s="68">
        <f t="shared" si="31"/>
        <v>0</v>
      </c>
    </row>
    <row r="310" spans="1:13" x14ac:dyDescent="0.3">
      <c r="A310" s="4">
        <v>4</v>
      </c>
      <c r="B310" s="2">
        <v>309</v>
      </c>
      <c r="C310" s="37">
        <v>2</v>
      </c>
      <c r="D310" s="37" t="s">
        <v>80</v>
      </c>
      <c r="E310" s="43" t="s">
        <v>0</v>
      </c>
      <c r="F310" s="4" t="s">
        <v>41</v>
      </c>
      <c r="G310" s="4" t="s">
        <v>67</v>
      </c>
      <c r="H310" s="68"/>
      <c r="I310" s="68" t="s">
        <v>151</v>
      </c>
      <c r="J310" s="37">
        <f>IF(Table1214[[#This Row],[modality]]=D309,1,0)</f>
        <v>0</v>
      </c>
      <c r="K310" s="68">
        <f>IF(Table1214[[#This Row],[stimulus]]=G311, 1, 0)</f>
        <v>1</v>
      </c>
      <c r="L310" s="68">
        <f t="shared" si="30"/>
        <v>0</v>
      </c>
      <c r="M310" s="68">
        <f t="shared" si="31"/>
        <v>1</v>
      </c>
    </row>
    <row r="311" spans="1:13" x14ac:dyDescent="0.3">
      <c r="A311" s="4">
        <v>4</v>
      </c>
      <c r="B311" s="2">
        <v>310</v>
      </c>
      <c r="C311" s="36">
        <v>2</v>
      </c>
      <c r="D311" s="36" t="s">
        <v>80</v>
      </c>
      <c r="E311" s="42" t="s">
        <v>40</v>
      </c>
      <c r="F311" s="15" t="s">
        <v>9</v>
      </c>
      <c r="G311" s="15" t="s">
        <v>67</v>
      </c>
      <c r="H311" s="68"/>
      <c r="I311" s="68" t="s">
        <v>150</v>
      </c>
      <c r="J311" s="37">
        <f>IF(Table1214[[#This Row],[modality]]=D310,1,0)</f>
        <v>1</v>
      </c>
      <c r="K311" s="68">
        <f>IF(Table1214[[#This Row],[stimulus]]=G312, 1, 0)</f>
        <v>0</v>
      </c>
      <c r="L311" s="68">
        <f t="shared" si="30"/>
        <v>0</v>
      </c>
      <c r="M311" s="68">
        <f t="shared" si="31"/>
        <v>0</v>
      </c>
    </row>
    <row r="312" spans="1:13" x14ac:dyDescent="0.3">
      <c r="A312" s="4">
        <v>4</v>
      </c>
      <c r="B312" s="2">
        <v>311</v>
      </c>
      <c r="C312" s="41">
        <v>1</v>
      </c>
      <c r="D312" s="41" t="s">
        <v>81</v>
      </c>
      <c r="E312" s="41" t="s">
        <v>29</v>
      </c>
      <c r="F312" s="4" t="s">
        <v>42</v>
      </c>
      <c r="G312" s="4" t="s">
        <v>66</v>
      </c>
      <c r="H312" s="68"/>
      <c r="I312" s="68"/>
      <c r="J312" s="37">
        <f>IF(Table1214[[#This Row],[modality]]=D311,1,0)</f>
        <v>0</v>
      </c>
      <c r="K312" s="68">
        <f>IF(Table1214[[#This Row],[stimulus]]=G313, 1, 0)</f>
        <v>0</v>
      </c>
      <c r="L312" s="68">
        <f t="shared" si="30"/>
        <v>1</v>
      </c>
      <c r="M312" s="68">
        <f t="shared" si="31"/>
        <v>0</v>
      </c>
    </row>
    <row r="313" spans="1:13" x14ac:dyDescent="0.3">
      <c r="A313" s="4">
        <v>4</v>
      </c>
      <c r="B313" s="2">
        <v>312</v>
      </c>
      <c r="C313" s="41">
        <v>2</v>
      </c>
      <c r="D313" s="41" t="s">
        <v>80</v>
      </c>
      <c r="E313" s="41" t="s">
        <v>29</v>
      </c>
      <c r="F313" s="15" t="s">
        <v>42</v>
      </c>
      <c r="G313" s="15" t="s">
        <v>59</v>
      </c>
      <c r="H313" s="68"/>
      <c r="I313" s="68" t="s">
        <v>151</v>
      </c>
      <c r="J313" s="37">
        <f>IF(Table1214[[#This Row],[modality]]=D312,1,0)</f>
        <v>0</v>
      </c>
      <c r="K313" s="68">
        <f>IF(Table1214[[#This Row],[stimulus]]=G314, 1, 0)</f>
        <v>0</v>
      </c>
      <c r="L313" s="68">
        <f t="shared" si="30"/>
        <v>0</v>
      </c>
      <c r="M313" s="68">
        <f t="shared" si="31"/>
        <v>1</v>
      </c>
    </row>
    <row r="314" spans="1:13" x14ac:dyDescent="0.3">
      <c r="A314" s="4">
        <v>4</v>
      </c>
      <c r="B314" s="2">
        <v>313</v>
      </c>
      <c r="C314" s="36">
        <v>2</v>
      </c>
      <c r="D314" s="36" t="s">
        <v>80</v>
      </c>
      <c r="E314" s="42" t="s">
        <v>0</v>
      </c>
      <c r="F314" s="15" t="s">
        <v>41</v>
      </c>
      <c r="G314" s="15" t="s">
        <v>72</v>
      </c>
      <c r="H314" s="68"/>
      <c r="I314" s="68" t="s">
        <v>151</v>
      </c>
      <c r="J314" s="37">
        <f>IF(Table1214[[#This Row],[modality]]=D313,1,0)</f>
        <v>1</v>
      </c>
      <c r="K314" s="68">
        <f>IF(Table1214[[#This Row],[stimulus]]=G315, 1, 0)</f>
        <v>1</v>
      </c>
      <c r="L314" s="68">
        <f t="shared" si="30"/>
        <v>0</v>
      </c>
      <c r="M314" s="68">
        <f t="shared" si="31"/>
        <v>1</v>
      </c>
    </row>
    <row r="315" spans="1:13" x14ac:dyDescent="0.3">
      <c r="A315" s="4">
        <v>4</v>
      </c>
      <c r="B315" s="2">
        <v>314</v>
      </c>
      <c r="C315" s="66">
        <v>1</v>
      </c>
      <c r="D315" s="66" t="s">
        <v>81</v>
      </c>
      <c r="E315" s="69" t="s">
        <v>40</v>
      </c>
      <c r="F315" s="27" t="s">
        <v>10</v>
      </c>
      <c r="G315" s="27" t="s">
        <v>72</v>
      </c>
      <c r="H315" s="68"/>
      <c r="I315" s="68" t="s">
        <v>150</v>
      </c>
      <c r="J315" s="37">
        <f>IF(Table1214[[#This Row],[modality]]=D314,1,0)</f>
        <v>0</v>
      </c>
      <c r="K315" s="68">
        <f>IF(Table1214[[#This Row],[stimulus]]=G316, 1, 0)</f>
        <v>0</v>
      </c>
      <c r="L315" s="68">
        <f t="shared" si="30"/>
        <v>0</v>
      </c>
      <c r="M315" s="68">
        <f t="shared" si="31"/>
        <v>0</v>
      </c>
    </row>
    <row r="316" spans="1:13" x14ac:dyDescent="0.3">
      <c r="A316" s="4">
        <v>4</v>
      </c>
      <c r="B316" s="2">
        <v>315</v>
      </c>
      <c r="C316" s="41">
        <v>1</v>
      </c>
      <c r="D316" s="41" t="s">
        <v>81</v>
      </c>
      <c r="E316" s="41" t="s">
        <v>29</v>
      </c>
      <c r="F316" s="15" t="s">
        <v>42</v>
      </c>
      <c r="G316" s="15" t="s">
        <v>63</v>
      </c>
      <c r="H316" s="68"/>
      <c r="I316" s="68"/>
      <c r="J316" s="37">
        <f>IF(Table1214[[#This Row],[modality]]=D315,1,0)</f>
        <v>1</v>
      </c>
      <c r="K316" s="68">
        <f>IF(Table1214[[#This Row],[stimulus]]=G317, 1, 0)</f>
        <v>0</v>
      </c>
      <c r="L316" s="68">
        <f t="shared" si="30"/>
        <v>1</v>
      </c>
      <c r="M316" s="68">
        <f t="shared" si="31"/>
        <v>0</v>
      </c>
    </row>
    <row r="317" spans="1:13" x14ac:dyDescent="0.3">
      <c r="A317" s="4">
        <v>4</v>
      </c>
      <c r="B317" s="2">
        <v>316</v>
      </c>
      <c r="C317" s="61">
        <v>2</v>
      </c>
      <c r="D317" s="61" t="s">
        <v>80</v>
      </c>
      <c r="E317" s="61" t="s">
        <v>29</v>
      </c>
      <c r="F317" s="62" t="s">
        <v>42</v>
      </c>
      <c r="G317" s="62"/>
      <c r="H317" s="78" t="s">
        <v>127</v>
      </c>
      <c r="I317" s="68" t="s">
        <v>151</v>
      </c>
      <c r="J317" s="37">
        <f>IF(Table1214[[#This Row],[modality]]=D316,1,0)</f>
        <v>0</v>
      </c>
      <c r="K317" s="68">
        <f>IF(Table1214[[#This Row],[stimulus]]=G318, 1, 0)</f>
        <v>0</v>
      </c>
      <c r="L317" s="68">
        <f t="shared" si="30"/>
        <v>0</v>
      </c>
      <c r="M317" s="68">
        <f t="shared" si="31"/>
        <v>1</v>
      </c>
    </row>
    <row r="318" spans="1:13" x14ac:dyDescent="0.3">
      <c r="A318" s="4">
        <v>4</v>
      </c>
      <c r="B318" s="2">
        <v>317</v>
      </c>
      <c r="C318" s="41">
        <v>1</v>
      </c>
      <c r="D318" s="41" t="s">
        <v>81</v>
      </c>
      <c r="E318" s="41" t="s">
        <v>29</v>
      </c>
      <c r="F318" s="4" t="s">
        <v>42</v>
      </c>
      <c r="G318" s="4" t="s">
        <v>61</v>
      </c>
      <c r="H318" s="68"/>
      <c r="I318" s="68" t="s">
        <v>151</v>
      </c>
      <c r="J318" s="37">
        <f>IF(Table1214[[#This Row],[modality]]=D317,1,0)</f>
        <v>0</v>
      </c>
      <c r="K318" s="68">
        <f>IF(Table1214[[#This Row],[stimulus]]=G319, 1, 0)</f>
        <v>0</v>
      </c>
      <c r="L318" s="68">
        <f t="shared" si="30"/>
        <v>0</v>
      </c>
      <c r="M318" s="68">
        <f t="shared" si="31"/>
        <v>1</v>
      </c>
    </row>
    <row r="319" spans="1:13" x14ac:dyDescent="0.3">
      <c r="A319" s="4">
        <v>4</v>
      </c>
      <c r="B319" s="2">
        <v>318</v>
      </c>
      <c r="C319" s="36">
        <v>1</v>
      </c>
      <c r="D319" s="36" t="s">
        <v>81</v>
      </c>
      <c r="E319" s="42" t="s">
        <v>0</v>
      </c>
      <c r="F319" s="15" t="s">
        <v>41</v>
      </c>
      <c r="G319" s="15" t="s">
        <v>68</v>
      </c>
      <c r="H319" s="68"/>
      <c r="I319" s="68" t="s">
        <v>151</v>
      </c>
      <c r="J319" s="37">
        <f>IF(Table1214[[#This Row],[modality]]=D318,1,0)</f>
        <v>1</v>
      </c>
      <c r="K319" s="68">
        <f>IF(Table1214[[#This Row],[stimulus]]=G320, 1, 0)</f>
        <v>1</v>
      </c>
      <c r="L319" s="68">
        <f t="shared" si="30"/>
        <v>0</v>
      </c>
      <c r="M319" s="68">
        <f t="shared" si="31"/>
        <v>1</v>
      </c>
    </row>
    <row r="320" spans="1:13" x14ac:dyDescent="0.3">
      <c r="A320" s="4">
        <v>4</v>
      </c>
      <c r="B320" s="2">
        <v>319</v>
      </c>
      <c r="C320" s="37">
        <v>1</v>
      </c>
      <c r="D320" s="37" t="s">
        <v>81</v>
      </c>
      <c r="E320" s="43" t="s">
        <v>40</v>
      </c>
      <c r="F320" s="4" t="s">
        <v>9</v>
      </c>
      <c r="G320" s="4" t="s">
        <v>68</v>
      </c>
      <c r="H320" s="68"/>
      <c r="I320" s="68" t="s">
        <v>150</v>
      </c>
      <c r="J320" s="37">
        <f>IF(Table1214[[#This Row],[modality]]=D319,1,0)</f>
        <v>1</v>
      </c>
      <c r="K320" s="68">
        <f>IF(Table1214[[#This Row],[stimulus]]=G321, 1, 0)</f>
        <v>0</v>
      </c>
      <c r="L320" s="68">
        <f t="shared" si="30"/>
        <v>0</v>
      </c>
      <c r="M320" s="68">
        <f t="shared" si="31"/>
        <v>0</v>
      </c>
    </row>
    <row r="321" spans="1:13" x14ac:dyDescent="0.3">
      <c r="A321" s="2" t="s">
        <v>25</v>
      </c>
      <c r="B321" s="2">
        <v>320</v>
      </c>
      <c r="C321" s="67"/>
      <c r="D321" s="67" t="s">
        <v>142</v>
      </c>
      <c r="E321" s="67" t="s">
        <v>142</v>
      </c>
      <c r="F321" s="29"/>
      <c r="G321" s="29"/>
      <c r="H321" s="68"/>
      <c r="I321" s="68" t="s">
        <v>150</v>
      </c>
      <c r="J321" s="37">
        <f>IF(Table1214[[#This Row],[modality]]=D320,1,0)</f>
        <v>0</v>
      </c>
      <c r="K321" s="68">
        <f>IF(Table1214[[#This Row],[stimulus]]=G322, 1, 0)</f>
        <v>0</v>
      </c>
      <c r="L321" s="68">
        <f t="shared" si="30"/>
        <v>1</v>
      </c>
      <c r="M321" s="68">
        <f t="shared" si="31"/>
        <v>0</v>
      </c>
    </row>
    <row r="322" spans="1:13" x14ac:dyDescent="0.3">
      <c r="A322" s="7">
        <v>1</v>
      </c>
      <c r="B322" s="2">
        <v>321</v>
      </c>
      <c r="C322" s="38">
        <v>2</v>
      </c>
      <c r="D322" s="44" t="s">
        <v>80</v>
      </c>
      <c r="E322" s="46" t="s">
        <v>29</v>
      </c>
      <c r="F322" s="15" t="s">
        <v>42</v>
      </c>
      <c r="G322" s="15" t="s">
        <v>69</v>
      </c>
      <c r="H322" s="68"/>
      <c r="I322" s="90" t="s">
        <v>151</v>
      </c>
      <c r="J322" s="37">
        <f>IF(Table1214[[#This Row],[modality]]=D321,1,0)</f>
        <v>0</v>
      </c>
      <c r="K322" s="68">
        <f>IF(Table1214[[#This Row],[stimulus]]=G323, 1, 0)</f>
        <v>0</v>
      </c>
      <c r="L322" s="68">
        <f t="shared" si="30"/>
        <v>0</v>
      </c>
      <c r="M322" s="68">
        <f t="shared" si="31"/>
        <v>0</v>
      </c>
    </row>
    <row r="323" spans="1:13" x14ac:dyDescent="0.3">
      <c r="A323" s="7">
        <v>1</v>
      </c>
      <c r="B323" s="2">
        <v>322</v>
      </c>
      <c r="C323" s="69">
        <v>2</v>
      </c>
      <c r="D323" s="69" t="s">
        <v>80</v>
      </c>
      <c r="E323" s="69" t="s">
        <v>0</v>
      </c>
      <c r="F323" s="27" t="s">
        <v>41</v>
      </c>
      <c r="G323" s="27" t="s">
        <v>47</v>
      </c>
      <c r="H323" s="68"/>
      <c r="I323" s="68" t="s">
        <v>151</v>
      </c>
      <c r="J323" s="37">
        <f>IF(Table1214[[#This Row],[modality]]=D322,1,0)</f>
        <v>1</v>
      </c>
      <c r="K323" s="68">
        <f>IF(Table1214[[#This Row],[stimulus]]=G324, 1, 0)</f>
        <v>1</v>
      </c>
      <c r="L323" s="68">
        <f t="shared" si="30"/>
        <v>0</v>
      </c>
      <c r="M323" s="68">
        <f t="shared" si="31"/>
        <v>1</v>
      </c>
    </row>
    <row r="324" spans="1:13" x14ac:dyDescent="0.3">
      <c r="A324" s="7">
        <v>1</v>
      </c>
      <c r="B324" s="2">
        <v>323</v>
      </c>
      <c r="C324" s="42">
        <v>2</v>
      </c>
      <c r="D324" s="42" t="s">
        <v>80</v>
      </c>
      <c r="E324" s="42" t="s">
        <v>40</v>
      </c>
      <c r="F324" s="15" t="s">
        <v>9</v>
      </c>
      <c r="G324" s="15" t="s">
        <v>47</v>
      </c>
      <c r="H324" s="68"/>
      <c r="I324" s="68" t="s">
        <v>150</v>
      </c>
      <c r="J324" s="37">
        <f>IF(Table1214[[#This Row],[modality]]=D323,1,0)</f>
        <v>1</v>
      </c>
      <c r="K324" s="68">
        <f>IF(Table1214[[#This Row],[stimulus]]=G325, 1, 0)</f>
        <v>0</v>
      </c>
      <c r="L324" s="68">
        <f t="shared" si="30"/>
        <v>0</v>
      </c>
      <c r="M324" s="68">
        <f t="shared" si="31"/>
        <v>0</v>
      </c>
    </row>
    <row r="325" spans="1:13" x14ac:dyDescent="0.3">
      <c r="A325" s="7">
        <v>1</v>
      </c>
      <c r="B325" s="2">
        <v>324</v>
      </c>
      <c r="C325" s="38">
        <v>1</v>
      </c>
      <c r="D325" s="38" t="s">
        <v>81</v>
      </c>
      <c r="E325" s="46" t="s">
        <v>29</v>
      </c>
      <c r="F325" s="27" t="s">
        <v>42</v>
      </c>
      <c r="G325" s="27" t="s">
        <v>72</v>
      </c>
      <c r="H325" s="68"/>
      <c r="I325" s="68"/>
      <c r="J325" s="37">
        <f>IF(Table1214[[#This Row],[modality]]=D324,1,0)</f>
        <v>0</v>
      </c>
      <c r="K325" s="68">
        <f>IF(Table1214[[#This Row],[stimulus]]=G327, 1, 0)</f>
        <v>0</v>
      </c>
      <c r="L325" s="68">
        <f t="shared" si="30"/>
        <v>1</v>
      </c>
      <c r="M325" s="68">
        <f t="shared" si="31"/>
        <v>0</v>
      </c>
    </row>
    <row r="326" spans="1:13" x14ac:dyDescent="0.3">
      <c r="A326" s="4">
        <v>1</v>
      </c>
      <c r="B326" s="2">
        <v>325</v>
      </c>
      <c r="C326" s="81">
        <v>1</v>
      </c>
      <c r="D326" s="81" t="s">
        <v>81</v>
      </c>
      <c r="E326" s="81" t="s">
        <v>29</v>
      </c>
      <c r="F326" s="82" t="s">
        <v>42</v>
      </c>
      <c r="G326" s="82" t="s">
        <v>71</v>
      </c>
      <c r="H326" s="68"/>
      <c r="I326" s="68" t="s">
        <v>151</v>
      </c>
      <c r="J326" s="37">
        <f>IF(Table1214[[#This Row],[modality]]=D325,1,0)</f>
        <v>1</v>
      </c>
      <c r="K326" s="68">
        <f>IF(Table1214[[#This Row],[stimulus]]=G327, 1, 0)</f>
        <v>0</v>
      </c>
      <c r="L326" s="68">
        <f t="shared" si="30"/>
        <v>0</v>
      </c>
      <c r="M326" s="68">
        <f t="shared" si="31"/>
        <v>1</v>
      </c>
    </row>
    <row r="327" spans="1:13" x14ac:dyDescent="0.3">
      <c r="A327" s="7">
        <v>1</v>
      </c>
      <c r="B327" s="2">
        <v>326</v>
      </c>
      <c r="C327" s="38">
        <v>1</v>
      </c>
      <c r="D327" s="38" t="s">
        <v>81</v>
      </c>
      <c r="E327" s="46" t="s">
        <v>29</v>
      </c>
      <c r="F327" s="4" t="s">
        <v>42</v>
      </c>
      <c r="G327" s="4" t="s">
        <v>74</v>
      </c>
      <c r="H327" s="68"/>
      <c r="I327" s="68"/>
      <c r="J327" s="37">
        <f>IF(Table1214[[#This Row],[modality]]=D325,1,0)</f>
        <v>1</v>
      </c>
      <c r="K327" s="68">
        <f>IF(Table1214[[#This Row],[stimulus]]=G328, 1, 0)</f>
        <v>0</v>
      </c>
      <c r="L327" s="68">
        <f>IF(E325="T",1,0)</f>
        <v>0</v>
      </c>
      <c r="M327" s="68">
        <f>IF(E325="F",1,0)</f>
        <v>1</v>
      </c>
    </row>
    <row r="328" spans="1:13" x14ac:dyDescent="0.3">
      <c r="A328" s="7">
        <v>1</v>
      </c>
      <c r="B328" s="2">
        <v>327</v>
      </c>
      <c r="C328" s="42">
        <v>2</v>
      </c>
      <c r="D328" s="42" t="s">
        <v>80</v>
      </c>
      <c r="E328" s="42" t="s">
        <v>0</v>
      </c>
      <c r="F328" s="15" t="s">
        <v>41</v>
      </c>
      <c r="G328" s="15" t="s">
        <v>50</v>
      </c>
      <c r="H328" s="68"/>
      <c r="I328" s="68" t="s">
        <v>151</v>
      </c>
      <c r="J328" s="37">
        <f>IF(Table1214[[#This Row],[modality]]=D327,1,0)</f>
        <v>0</v>
      </c>
      <c r="K328" s="68">
        <f>IF(Table1214[[#This Row],[stimulus]]=G329, 1, 0)</f>
        <v>1</v>
      </c>
      <c r="L328" s="68">
        <f t="shared" ref="L328:L351" si="32">IF(E327="T",1,0)</f>
        <v>0</v>
      </c>
      <c r="M328" s="68">
        <f t="shared" ref="M328:M351" si="33">IF(E327="F",1,0)</f>
        <v>1</v>
      </c>
    </row>
    <row r="329" spans="1:13" x14ac:dyDescent="0.3">
      <c r="A329" s="7">
        <v>1</v>
      </c>
      <c r="B329" s="2">
        <v>328</v>
      </c>
      <c r="C329" s="43">
        <v>2</v>
      </c>
      <c r="D329" s="42" t="s">
        <v>80</v>
      </c>
      <c r="E329" s="43" t="s">
        <v>40</v>
      </c>
      <c r="F329" s="4" t="s">
        <v>9</v>
      </c>
      <c r="G329" s="4" t="s">
        <v>50</v>
      </c>
      <c r="H329" s="68"/>
      <c r="I329" s="68" t="s">
        <v>150</v>
      </c>
      <c r="J329" s="37">
        <f>IF(Table1214[[#This Row],[modality]]=D328,1,0)</f>
        <v>1</v>
      </c>
      <c r="K329" s="68">
        <f>IF(Table1214[[#This Row],[stimulus]]=G330, 1, 0)</f>
        <v>0</v>
      </c>
      <c r="L329" s="68">
        <f t="shared" si="32"/>
        <v>0</v>
      </c>
      <c r="M329" s="68">
        <f t="shared" si="33"/>
        <v>0</v>
      </c>
    </row>
    <row r="330" spans="1:13" x14ac:dyDescent="0.3">
      <c r="A330" s="7">
        <v>1</v>
      </c>
      <c r="B330" s="2">
        <v>329</v>
      </c>
      <c r="C330" s="38">
        <v>1</v>
      </c>
      <c r="D330" s="44" t="s">
        <v>81</v>
      </c>
      <c r="E330" s="46" t="s">
        <v>29</v>
      </c>
      <c r="F330" s="15" t="s">
        <v>42</v>
      </c>
      <c r="G330" s="15" t="s">
        <v>67</v>
      </c>
      <c r="H330" s="68"/>
      <c r="I330" s="68"/>
      <c r="J330" s="37">
        <f>IF(Table1214[[#This Row],[modality]]=D329,1,0)</f>
        <v>0</v>
      </c>
      <c r="K330" s="68">
        <f>IF(Table1214[[#This Row],[stimulus]]=G331, 1, 0)</f>
        <v>0</v>
      </c>
      <c r="L330" s="68">
        <f t="shared" si="32"/>
        <v>1</v>
      </c>
      <c r="M330" s="68">
        <f t="shared" si="33"/>
        <v>0</v>
      </c>
    </row>
    <row r="331" spans="1:13" x14ac:dyDescent="0.3">
      <c r="A331" s="7">
        <v>1</v>
      </c>
      <c r="B331" s="2">
        <v>330</v>
      </c>
      <c r="C331" s="42">
        <v>2</v>
      </c>
      <c r="D331" s="42" t="s">
        <v>80</v>
      </c>
      <c r="E331" s="42" t="s">
        <v>0</v>
      </c>
      <c r="F331" s="15" t="s">
        <v>41</v>
      </c>
      <c r="G331" s="15" t="s">
        <v>49</v>
      </c>
      <c r="H331" s="68"/>
      <c r="I331" s="68" t="s">
        <v>151</v>
      </c>
      <c r="J331" s="37">
        <f>IF(Table1214[[#This Row],[modality]]=D330,1,0)</f>
        <v>0</v>
      </c>
      <c r="K331" s="68">
        <f>IF(Table1214[[#This Row],[stimulus]]=G332, 1, 0)</f>
        <v>1</v>
      </c>
      <c r="L331" s="68">
        <f t="shared" si="32"/>
        <v>0</v>
      </c>
      <c r="M331" s="68">
        <f t="shared" si="33"/>
        <v>1</v>
      </c>
    </row>
    <row r="332" spans="1:13" x14ac:dyDescent="0.3">
      <c r="A332" s="7">
        <v>1</v>
      </c>
      <c r="B332" s="2">
        <v>331</v>
      </c>
      <c r="C332" s="69">
        <v>1</v>
      </c>
      <c r="D332" s="69" t="s">
        <v>81</v>
      </c>
      <c r="E332" s="69" t="s">
        <v>40</v>
      </c>
      <c r="F332" s="27" t="s">
        <v>10</v>
      </c>
      <c r="G332" s="27" t="s">
        <v>49</v>
      </c>
      <c r="H332" s="68"/>
      <c r="I332" s="68" t="s">
        <v>150</v>
      </c>
      <c r="J332" s="37">
        <f>IF(Table1214[[#This Row],[modality]]=D331,1,0)</f>
        <v>0</v>
      </c>
      <c r="K332" s="68">
        <f>IF(Table1214[[#This Row],[stimulus]]=G333, 1, 0)</f>
        <v>0</v>
      </c>
      <c r="L332" s="68">
        <f t="shared" si="32"/>
        <v>0</v>
      </c>
      <c r="M332" s="68">
        <f t="shared" si="33"/>
        <v>0</v>
      </c>
    </row>
    <row r="333" spans="1:13" x14ac:dyDescent="0.3">
      <c r="A333" s="7">
        <v>1</v>
      </c>
      <c r="B333" s="2">
        <v>332</v>
      </c>
      <c r="C333" s="38">
        <v>1</v>
      </c>
      <c r="D333" s="44" t="s">
        <v>81</v>
      </c>
      <c r="E333" s="46" t="s">
        <v>29</v>
      </c>
      <c r="F333" s="15" t="s">
        <v>42</v>
      </c>
      <c r="G333" s="15" t="s">
        <v>71</v>
      </c>
      <c r="H333" s="68"/>
      <c r="I333" s="68"/>
      <c r="J333" s="37">
        <f>IF(Table1214[[#This Row],[modality]]=D332,1,0)</f>
        <v>1</v>
      </c>
      <c r="K333" s="68">
        <f>IF(Table1214[[#This Row],[stimulus]]=G334, 1, 0)</f>
        <v>0</v>
      </c>
      <c r="L333" s="68">
        <f t="shared" si="32"/>
        <v>1</v>
      </c>
      <c r="M333" s="68">
        <f t="shared" si="33"/>
        <v>0</v>
      </c>
    </row>
    <row r="334" spans="1:13" x14ac:dyDescent="0.3">
      <c r="A334" s="7">
        <v>1</v>
      </c>
      <c r="B334" s="2">
        <v>333</v>
      </c>
      <c r="C334" s="69">
        <v>1</v>
      </c>
      <c r="D334" s="69" t="s">
        <v>81</v>
      </c>
      <c r="E334" s="69" t="s">
        <v>0</v>
      </c>
      <c r="F334" s="27" t="s">
        <v>41</v>
      </c>
      <c r="G334" s="27" t="s">
        <v>45</v>
      </c>
      <c r="H334" s="68"/>
      <c r="I334" s="68" t="s">
        <v>151</v>
      </c>
      <c r="J334" s="37">
        <f>IF(Table1214[[#This Row],[modality]]=D333,1,0)</f>
        <v>1</v>
      </c>
      <c r="K334" s="68">
        <f>IF(Table1214[[#This Row],[stimulus]]=G335, 1, 0)</f>
        <v>1</v>
      </c>
      <c r="L334" s="68">
        <f t="shared" si="32"/>
        <v>0</v>
      </c>
      <c r="M334" s="68">
        <f t="shared" si="33"/>
        <v>1</v>
      </c>
    </row>
    <row r="335" spans="1:13" x14ac:dyDescent="0.3">
      <c r="A335" s="7">
        <v>1</v>
      </c>
      <c r="B335" s="2">
        <v>334</v>
      </c>
      <c r="C335" s="42">
        <v>2</v>
      </c>
      <c r="D335" s="42" t="s">
        <v>80</v>
      </c>
      <c r="E335" s="42" t="s">
        <v>40</v>
      </c>
      <c r="F335" s="15" t="s">
        <v>10</v>
      </c>
      <c r="G335" s="15" t="s">
        <v>45</v>
      </c>
      <c r="H335" s="68"/>
      <c r="I335" s="68" t="s">
        <v>150</v>
      </c>
      <c r="J335" s="37">
        <f>IF(Table1214[[#This Row],[modality]]=D334,1,0)</f>
        <v>0</v>
      </c>
      <c r="K335" s="68">
        <f>IF(Table1214[[#This Row],[stimulus]]=G336, 1, 0)</f>
        <v>0</v>
      </c>
      <c r="L335" s="68">
        <f t="shared" si="32"/>
        <v>0</v>
      </c>
      <c r="M335" s="68">
        <f t="shared" si="33"/>
        <v>0</v>
      </c>
    </row>
    <row r="336" spans="1:13" x14ac:dyDescent="0.3">
      <c r="A336" s="7">
        <v>1</v>
      </c>
      <c r="B336" s="2">
        <v>335</v>
      </c>
      <c r="C336" s="69">
        <v>2</v>
      </c>
      <c r="D336" s="69" t="s">
        <v>80</v>
      </c>
      <c r="E336" s="69" t="s">
        <v>0</v>
      </c>
      <c r="F336" s="27" t="s">
        <v>41</v>
      </c>
      <c r="G336" s="27" t="s">
        <v>44</v>
      </c>
      <c r="H336" s="68"/>
      <c r="I336" s="68" t="s">
        <v>151</v>
      </c>
      <c r="J336" s="37">
        <f>IF(Table1214[[#This Row],[modality]]=D335,1,0)</f>
        <v>1</v>
      </c>
      <c r="K336" s="68">
        <f>IF(Table1214[[#This Row],[stimulus]]=G337, 1, 0)</f>
        <v>1</v>
      </c>
      <c r="L336" s="68">
        <f t="shared" si="32"/>
        <v>1</v>
      </c>
      <c r="M336" s="68">
        <f t="shared" si="33"/>
        <v>0</v>
      </c>
    </row>
    <row r="337" spans="1:13" x14ac:dyDescent="0.3">
      <c r="A337" s="7">
        <v>1</v>
      </c>
      <c r="B337" s="2">
        <v>336</v>
      </c>
      <c r="C337" s="42">
        <v>1</v>
      </c>
      <c r="D337" s="42" t="s">
        <v>81</v>
      </c>
      <c r="E337" s="42" t="s">
        <v>40</v>
      </c>
      <c r="F337" s="15" t="s">
        <v>10</v>
      </c>
      <c r="G337" s="15" t="s">
        <v>44</v>
      </c>
      <c r="H337" s="68"/>
      <c r="I337" s="68" t="s">
        <v>150</v>
      </c>
      <c r="J337" s="37">
        <f>IF(Table1214[[#This Row],[modality]]=D336,1,0)</f>
        <v>0</v>
      </c>
      <c r="K337" s="68">
        <f>IF(Table1214[[#This Row],[stimulus]]=G338, 1, 0)</f>
        <v>0</v>
      </c>
      <c r="L337" s="68">
        <f t="shared" si="32"/>
        <v>0</v>
      </c>
      <c r="M337" s="68">
        <f t="shared" si="33"/>
        <v>0</v>
      </c>
    </row>
    <row r="338" spans="1:13" x14ac:dyDescent="0.3">
      <c r="A338" s="7">
        <v>1</v>
      </c>
      <c r="B338" s="2">
        <v>337</v>
      </c>
      <c r="C338" s="38">
        <v>1</v>
      </c>
      <c r="D338" s="38" t="s">
        <v>81</v>
      </c>
      <c r="E338" s="46" t="s">
        <v>29</v>
      </c>
      <c r="F338" s="27" t="s">
        <v>42</v>
      </c>
      <c r="G338" s="27" t="s">
        <v>68</v>
      </c>
      <c r="H338" s="68"/>
      <c r="I338" s="68"/>
      <c r="J338" s="37">
        <f>IF(Table1214[[#This Row],[modality]]=D337,1,0)</f>
        <v>1</v>
      </c>
      <c r="K338" s="68">
        <f>IF(Table1214[[#This Row],[stimulus]]=G339, 1, 0)</f>
        <v>0</v>
      </c>
      <c r="L338" s="68">
        <f t="shared" si="32"/>
        <v>1</v>
      </c>
      <c r="M338" s="68">
        <f t="shared" si="33"/>
        <v>0</v>
      </c>
    </row>
    <row r="339" spans="1:13" x14ac:dyDescent="0.3">
      <c r="A339" s="7">
        <v>1</v>
      </c>
      <c r="B339" s="2">
        <v>338</v>
      </c>
      <c r="C339" s="38">
        <v>2</v>
      </c>
      <c r="D339" s="44" t="s">
        <v>80</v>
      </c>
      <c r="E339" s="46" t="s">
        <v>29</v>
      </c>
      <c r="F339" s="15" t="s">
        <v>42</v>
      </c>
      <c r="G339" s="15" t="s">
        <v>70</v>
      </c>
      <c r="H339" s="68"/>
      <c r="I339" s="68" t="s">
        <v>151</v>
      </c>
      <c r="J339" s="37">
        <f>IF(Table1214[[#This Row],[modality]]=D338,1,0)</f>
        <v>0</v>
      </c>
      <c r="K339" s="68">
        <f>IF(Table1214[[#This Row],[stimulus]]=G340, 1, 0)</f>
        <v>0</v>
      </c>
      <c r="L339" s="68">
        <f t="shared" si="32"/>
        <v>0</v>
      </c>
      <c r="M339" s="68">
        <f t="shared" si="33"/>
        <v>1</v>
      </c>
    </row>
    <row r="340" spans="1:13" x14ac:dyDescent="0.3">
      <c r="A340" s="7">
        <v>1</v>
      </c>
      <c r="B340" s="2">
        <v>339</v>
      </c>
      <c r="C340" s="42">
        <v>1</v>
      </c>
      <c r="D340" s="42" t="s">
        <v>81</v>
      </c>
      <c r="E340" s="42" t="s">
        <v>0</v>
      </c>
      <c r="F340" s="15" t="s">
        <v>41</v>
      </c>
      <c r="G340" s="15" t="s">
        <v>46</v>
      </c>
      <c r="H340" s="68"/>
      <c r="I340" s="68" t="s">
        <v>151</v>
      </c>
      <c r="J340" s="37">
        <f>IF(Table1214[[#This Row],[modality]]=D339,1,0)</f>
        <v>0</v>
      </c>
      <c r="K340" s="68">
        <f>IF(Table1214[[#This Row],[stimulus]]=G341, 1, 0)</f>
        <v>1</v>
      </c>
      <c r="L340" s="68">
        <f t="shared" si="32"/>
        <v>0</v>
      </c>
      <c r="M340" s="68">
        <f t="shared" si="33"/>
        <v>1</v>
      </c>
    </row>
    <row r="341" spans="1:13" x14ac:dyDescent="0.3">
      <c r="A341" s="7">
        <v>1</v>
      </c>
      <c r="B341" s="2">
        <v>340</v>
      </c>
      <c r="C341" s="43">
        <v>1</v>
      </c>
      <c r="D341" s="42" t="s">
        <v>81</v>
      </c>
      <c r="E341" s="43" t="s">
        <v>40</v>
      </c>
      <c r="F341" s="4" t="s">
        <v>9</v>
      </c>
      <c r="G341" s="4" t="s">
        <v>46</v>
      </c>
      <c r="H341" s="68"/>
      <c r="I341" s="68" t="s">
        <v>150</v>
      </c>
      <c r="J341" s="37">
        <f>IF(Table1214[[#This Row],[modality]]=D340,1,0)</f>
        <v>1</v>
      </c>
      <c r="K341" s="68">
        <f>IF(Table1214[[#This Row],[stimulus]]=G342, 1, 0)</f>
        <v>0</v>
      </c>
      <c r="L341" s="68">
        <f t="shared" si="32"/>
        <v>0</v>
      </c>
      <c r="M341" s="68">
        <f t="shared" si="33"/>
        <v>0</v>
      </c>
    </row>
    <row r="342" spans="1:13" x14ac:dyDescent="0.3">
      <c r="A342" s="7">
        <v>1</v>
      </c>
      <c r="B342" s="2">
        <v>341</v>
      </c>
      <c r="C342" s="38">
        <v>2</v>
      </c>
      <c r="D342" s="38" t="s">
        <v>80</v>
      </c>
      <c r="E342" s="46" t="s">
        <v>29</v>
      </c>
      <c r="F342" s="27" t="s">
        <v>42</v>
      </c>
      <c r="G342" s="27" t="s">
        <v>73</v>
      </c>
      <c r="H342" s="68"/>
      <c r="I342" s="68"/>
      <c r="J342" s="37">
        <f>IF(Table1214[[#This Row],[modality]]=D341,1,0)</f>
        <v>0</v>
      </c>
      <c r="K342" s="68">
        <f>IF(Table1214[[#This Row],[stimulus]]=G343, 1, 0)</f>
        <v>0</v>
      </c>
      <c r="L342" s="68">
        <f t="shared" si="32"/>
        <v>1</v>
      </c>
      <c r="M342" s="68">
        <f t="shared" si="33"/>
        <v>0</v>
      </c>
    </row>
    <row r="343" spans="1:13" x14ac:dyDescent="0.3">
      <c r="A343" s="7">
        <v>1</v>
      </c>
      <c r="B343" s="2">
        <v>342</v>
      </c>
      <c r="C343" s="42">
        <v>1</v>
      </c>
      <c r="D343" s="42" t="s">
        <v>81</v>
      </c>
      <c r="E343" s="42" t="s">
        <v>0</v>
      </c>
      <c r="F343" s="15" t="s">
        <v>41</v>
      </c>
      <c r="G343" s="15" t="s">
        <v>43</v>
      </c>
      <c r="H343" s="68"/>
      <c r="I343" s="68" t="s">
        <v>151</v>
      </c>
      <c r="J343" s="37">
        <f>IF(Table1214[[#This Row],[modality]]=D342,1,0)</f>
        <v>0</v>
      </c>
      <c r="K343" s="68">
        <f>IF(Table1214[[#This Row],[stimulus]]=G344, 1, 0)</f>
        <v>1</v>
      </c>
      <c r="L343" s="68">
        <f t="shared" si="32"/>
        <v>0</v>
      </c>
      <c r="M343" s="68">
        <f t="shared" si="33"/>
        <v>1</v>
      </c>
    </row>
    <row r="344" spans="1:13" x14ac:dyDescent="0.3">
      <c r="A344" s="7">
        <v>1</v>
      </c>
      <c r="B344" s="2">
        <v>343</v>
      </c>
      <c r="C344" s="69">
        <v>1</v>
      </c>
      <c r="D344" s="42" t="s">
        <v>81</v>
      </c>
      <c r="E344" s="69" t="s">
        <v>40</v>
      </c>
      <c r="F344" s="27" t="s">
        <v>9</v>
      </c>
      <c r="G344" s="27" t="s">
        <v>43</v>
      </c>
      <c r="H344" s="68"/>
      <c r="I344" s="68" t="s">
        <v>150</v>
      </c>
      <c r="J344" s="37">
        <f>IF(Table1214[[#This Row],[modality]]=D343,1,0)</f>
        <v>1</v>
      </c>
      <c r="K344" s="68">
        <f>IF(Table1214[[#This Row],[stimulus]]=G345, 1, 0)</f>
        <v>0</v>
      </c>
      <c r="L344" s="68">
        <f t="shared" si="32"/>
        <v>0</v>
      </c>
      <c r="M344" s="68">
        <f t="shared" si="33"/>
        <v>0</v>
      </c>
    </row>
    <row r="345" spans="1:13" x14ac:dyDescent="0.3">
      <c r="A345" s="7">
        <v>1</v>
      </c>
      <c r="B345" s="2">
        <v>344</v>
      </c>
      <c r="C345" s="42">
        <v>1</v>
      </c>
      <c r="D345" s="42" t="s">
        <v>81</v>
      </c>
      <c r="E345" s="42" t="s">
        <v>0</v>
      </c>
      <c r="F345" s="15" t="s">
        <v>41</v>
      </c>
      <c r="G345" s="15" t="s">
        <v>48</v>
      </c>
      <c r="H345" s="68"/>
      <c r="I345" s="68" t="s">
        <v>151</v>
      </c>
      <c r="J345" s="37">
        <f>IF(Table1214[[#This Row],[modality]]=D344,1,0)</f>
        <v>1</v>
      </c>
      <c r="K345" s="68">
        <f>IF(Table1214[[#This Row],[stimulus]]=G346, 1, 0)</f>
        <v>1</v>
      </c>
      <c r="L345" s="68">
        <f t="shared" si="32"/>
        <v>1</v>
      </c>
      <c r="M345" s="68">
        <f t="shared" si="33"/>
        <v>0</v>
      </c>
    </row>
    <row r="346" spans="1:13" x14ac:dyDescent="0.3">
      <c r="A346" s="7">
        <v>1</v>
      </c>
      <c r="B346" s="2">
        <v>345</v>
      </c>
      <c r="C346" s="69">
        <v>2</v>
      </c>
      <c r="D346" s="69" t="s">
        <v>80</v>
      </c>
      <c r="E346" s="69" t="s">
        <v>40</v>
      </c>
      <c r="F346" s="27" t="s">
        <v>10</v>
      </c>
      <c r="G346" s="27" t="s">
        <v>48</v>
      </c>
      <c r="H346" s="68"/>
      <c r="I346" s="68" t="s">
        <v>150</v>
      </c>
      <c r="J346" s="37">
        <f>IF(Table1214[[#This Row],[modality]]=D345,1,0)</f>
        <v>0</v>
      </c>
      <c r="K346" s="68">
        <f>IF(Table1214[[#This Row],[stimulus]]=G347, 1, 0)</f>
        <v>0</v>
      </c>
      <c r="L346" s="68">
        <f t="shared" si="32"/>
        <v>0</v>
      </c>
      <c r="M346" s="68">
        <f t="shared" si="33"/>
        <v>0</v>
      </c>
    </row>
    <row r="347" spans="1:13" x14ac:dyDescent="0.3">
      <c r="A347" s="4">
        <v>2</v>
      </c>
      <c r="B347" s="2">
        <v>346</v>
      </c>
      <c r="C347" s="39">
        <v>1</v>
      </c>
      <c r="D347" s="39" t="s">
        <v>81</v>
      </c>
      <c r="E347" s="39" t="s">
        <v>29</v>
      </c>
      <c r="F347" s="4" t="s">
        <v>42</v>
      </c>
      <c r="G347" s="4" t="s">
        <v>47</v>
      </c>
      <c r="H347" s="68"/>
      <c r="I347" s="68"/>
      <c r="J347" s="37">
        <f>IF(Table1214[[#This Row],[modality]]=D346,1,0)</f>
        <v>0</v>
      </c>
      <c r="K347" s="68">
        <f>IF(Table1214[[#This Row],[stimulus]]=G348, 1, 0)</f>
        <v>0</v>
      </c>
      <c r="L347" s="68">
        <f t="shared" si="32"/>
        <v>1</v>
      </c>
      <c r="M347" s="68">
        <f t="shared" si="33"/>
        <v>0</v>
      </c>
    </row>
    <row r="348" spans="1:13" x14ac:dyDescent="0.3">
      <c r="A348" s="4">
        <v>2</v>
      </c>
      <c r="B348" s="2">
        <v>347</v>
      </c>
      <c r="C348" s="69">
        <v>1</v>
      </c>
      <c r="D348" s="69" t="s">
        <v>81</v>
      </c>
      <c r="E348" s="69" t="s">
        <v>0</v>
      </c>
      <c r="F348" s="27" t="s">
        <v>41</v>
      </c>
      <c r="G348" s="27" t="s">
        <v>51</v>
      </c>
      <c r="H348" s="68"/>
      <c r="I348" s="68" t="s">
        <v>151</v>
      </c>
      <c r="J348" s="37">
        <f>IF(Table1214[[#This Row],[modality]]=D347,1,0)</f>
        <v>1</v>
      </c>
      <c r="K348" s="68">
        <f>IF(Table1214[[#This Row],[stimulus]]=G349, 1, 0)</f>
        <v>1</v>
      </c>
      <c r="L348" s="68">
        <f t="shared" si="32"/>
        <v>0</v>
      </c>
      <c r="M348" s="68">
        <f t="shared" si="33"/>
        <v>1</v>
      </c>
    </row>
    <row r="349" spans="1:13" x14ac:dyDescent="0.3">
      <c r="A349" s="4">
        <v>2</v>
      </c>
      <c r="B349" s="2">
        <v>348</v>
      </c>
      <c r="C349" s="43">
        <v>1</v>
      </c>
      <c r="D349" s="43" t="s">
        <v>81</v>
      </c>
      <c r="E349" s="43" t="s">
        <v>40</v>
      </c>
      <c r="F349" s="4" t="s">
        <v>9</v>
      </c>
      <c r="G349" s="4" t="s">
        <v>51</v>
      </c>
      <c r="H349" s="68"/>
      <c r="I349" s="68" t="s">
        <v>150</v>
      </c>
      <c r="J349" s="37">
        <f>IF(Table1214[[#This Row],[modality]]=D348,1,0)</f>
        <v>1</v>
      </c>
      <c r="K349" s="68">
        <f>IF(Table1214[[#This Row],[stimulus]]=G350, 1, 0)</f>
        <v>0</v>
      </c>
      <c r="L349" s="68">
        <f t="shared" si="32"/>
        <v>0</v>
      </c>
      <c r="M349" s="68">
        <f t="shared" si="33"/>
        <v>0</v>
      </c>
    </row>
    <row r="350" spans="1:13" x14ac:dyDescent="0.3">
      <c r="A350" s="4">
        <v>2</v>
      </c>
      <c r="B350" s="2">
        <v>349</v>
      </c>
      <c r="C350" s="39">
        <v>2</v>
      </c>
      <c r="D350" s="39" t="s">
        <v>80</v>
      </c>
      <c r="E350" s="39" t="s">
        <v>29</v>
      </c>
      <c r="F350" s="27" t="s">
        <v>42</v>
      </c>
      <c r="G350" s="27" t="s">
        <v>43</v>
      </c>
      <c r="H350" s="68"/>
      <c r="I350" s="68"/>
      <c r="J350" s="37">
        <f>IF(Table1214[[#This Row],[modality]]=D349,1,0)</f>
        <v>0</v>
      </c>
      <c r="K350" s="68">
        <f>IF(Table1214[[#This Row],[stimulus]]=G352, 1, 0)</f>
        <v>0</v>
      </c>
      <c r="L350" s="68">
        <f t="shared" si="32"/>
        <v>1</v>
      </c>
      <c r="M350" s="68">
        <f t="shared" si="33"/>
        <v>0</v>
      </c>
    </row>
    <row r="351" spans="1:13" x14ac:dyDescent="0.3">
      <c r="A351" s="4">
        <v>2</v>
      </c>
      <c r="B351" s="2">
        <v>350</v>
      </c>
      <c r="C351" s="76">
        <v>2</v>
      </c>
      <c r="D351" s="76" t="s">
        <v>80</v>
      </c>
      <c r="E351" s="76" t="s">
        <v>29</v>
      </c>
      <c r="F351" s="75" t="s">
        <v>42</v>
      </c>
      <c r="G351" s="75" t="s">
        <v>44</v>
      </c>
      <c r="H351" s="68"/>
      <c r="I351" s="68" t="s">
        <v>151</v>
      </c>
      <c r="J351" s="37">
        <f>IF(Table1214[[#This Row],[modality]]=D350,1,0)</f>
        <v>1</v>
      </c>
      <c r="K351" s="68">
        <f>IF(Table1214[[#This Row],[stimulus]]=G352, 1, 0)</f>
        <v>0</v>
      </c>
      <c r="L351" s="68">
        <f t="shared" si="32"/>
        <v>0</v>
      </c>
      <c r="M351" s="68">
        <f t="shared" si="33"/>
        <v>1</v>
      </c>
    </row>
    <row r="352" spans="1:13" x14ac:dyDescent="0.3">
      <c r="A352" s="4">
        <v>2</v>
      </c>
      <c r="B352" s="2">
        <v>351</v>
      </c>
      <c r="C352" s="42">
        <v>1</v>
      </c>
      <c r="D352" s="42" t="s">
        <v>81</v>
      </c>
      <c r="E352" s="42" t="s">
        <v>0</v>
      </c>
      <c r="F352" s="15" t="s">
        <v>41</v>
      </c>
      <c r="G352" s="15" t="s">
        <v>55</v>
      </c>
      <c r="H352" s="68"/>
      <c r="I352" s="68" t="s">
        <v>151</v>
      </c>
      <c r="J352" s="37">
        <f>IF(Table1214[[#This Row],[modality]]=D350,1,0)</f>
        <v>0</v>
      </c>
      <c r="K352" s="68">
        <f>IF(Table1214[[#This Row],[stimulus]]=G353, 1, 0)</f>
        <v>1</v>
      </c>
      <c r="L352" s="68">
        <f>IF(E350="T",1,0)</f>
        <v>0</v>
      </c>
      <c r="M352" s="68">
        <f>IF(E350="F",1,0)</f>
        <v>1</v>
      </c>
    </row>
    <row r="353" spans="1:13" x14ac:dyDescent="0.3">
      <c r="A353" s="4">
        <v>2</v>
      </c>
      <c r="B353" s="2">
        <v>352</v>
      </c>
      <c r="C353" s="69">
        <v>1</v>
      </c>
      <c r="D353" s="69" t="s">
        <v>81</v>
      </c>
      <c r="E353" s="69" t="s">
        <v>40</v>
      </c>
      <c r="F353" s="27" t="s">
        <v>9</v>
      </c>
      <c r="G353" s="27" t="s">
        <v>55</v>
      </c>
      <c r="H353" s="68"/>
      <c r="I353" s="68" t="s">
        <v>150</v>
      </c>
      <c r="J353" s="37">
        <f>IF(Table1214[[#This Row],[modality]]=D352,1,0)</f>
        <v>1</v>
      </c>
      <c r="K353" s="68">
        <f>IF(Table1214[[#This Row],[stimulus]]=G354, 1, 0)</f>
        <v>0</v>
      </c>
      <c r="L353" s="68">
        <f t="shared" ref="L353:L383" si="34">IF(E352="T",1,0)</f>
        <v>0</v>
      </c>
      <c r="M353" s="68">
        <f t="shared" ref="M353:M383" si="35">IF(E352="F",1,0)</f>
        <v>0</v>
      </c>
    </row>
    <row r="354" spans="1:13" x14ac:dyDescent="0.3">
      <c r="A354" s="4">
        <v>2</v>
      </c>
      <c r="B354" s="2">
        <v>353</v>
      </c>
      <c r="C354" s="39">
        <v>1</v>
      </c>
      <c r="D354" s="39" t="s">
        <v>81</v>
      </c>
      <c r="E354" s="39" t="s">
        <v>29</v>
      </c>
      <c r="F354" s="15" t="s">
        <v>42</v>
      </c>
      <c r="G354" s="15" t="s">
        <v>50</v>
      </c>
      <c r="H354" s="68"/>
      <c r="I354" s="68"/>
      <c r="J354" s="37">
        <f>IF(Table1214[[#This Row],[modality]]=D353,1,0)</f>
        <v>1</v>
      </c>
      <c r="K354" s="68">
        <f>IF(Table1214[[#This Row],[stimulus]]=G355, 1, 0)</f>
        <v>0</v>
      </c>
      <c r="L354" s="68">
        <f t="shared" si="34"/>
        <v>1</v>
      </c>
      <c r="M354" s="68">
        <f t="shared" si="35"/>
        <v>0</v>
      </c>
    </row>
    <row r="355" spans="1:13" x14ac:dyDescent="0.3">
      <c r="A355" s="79">
        <v>2</v>
      </c>
      <c r="B355" s="2">
        <v>354</v>
      </c>
      <c r="C355" s="61">
        <v>2</v>
      </c>
      <c r="D355" s="61" t="s">
        <v>80</v>
      </c>
      <c r="E355" s="61" t="s">
        <v>29</v>
      </c>
      <c r="F355" s="65" t="s">
        <v>42</v>
      </c>
      <c r="G355" s="65"/>
      <c r="H355" s="78" t="s">
        <v>127</v>
      </c>
      <c r="I355" s="68" t="s">
        <v>151</v>
      </c>
      <c r="J355" s="37">
        <f>IF(Table1214[[#This Row],[modality]]=D354,1,0)</f>
        <v>0</v>
      </c>
      <c r="K355" s="68">
        <f>IF(Table1214[[#This Row],[stimulus]]=G356, 1, 0)</f>
        <v>0</v>
      </c>
      <c r="L355" s="68">
        <f t="shared" si="34"/>
        <v>0</v>
      </c>
      <c r="M355" s="68">
        <f t="shared" si="35"/>
        <v>1</v>
      </c>
    </row>
    <row r="356" spans="1:13" x14ac:dyDescent="0.3">
      <c r="A356" s="4">
        <v>2</v>
      </c>
      <c r="B356" s="2">
        <v>355</v>
      </c>
      <c r="C356" s="39">
        <v>1</v>
      </c>
      <c r="D356" s="39" t="s">
        <v>81</v>
      </c>
      <c r="E356" s="39" t="s">
        <v>29</v>
      </c>
      <c r="F356" s="4" t="s">
        <v>42</v>
      </c>
      <c r="G356" s="4" t="s">
        <v>49</v>
      </c>
      <c r="H356" s="68"/>
      <c r="I356" s="68" t="s">
        <v>151</v>
      </c>
      <c r="J356" s="37">
        <f>IF(Table1214[[#This Row],[modality]]=D355,1,0)</f>
        <v>0</v>
      </c>
      <c r="K356" s="68">
        <f>IF(Table1214[[#This Row],[stimulus]]=G357, 1, 0)</f>
        <v>0</v>
      </c>
      <c r="L356" s="68">
        <f t="shared" si="34"/>
        <v>0</v>
      </c>
      <c r="M356" s="68">
        <f t="shared" si="35"/>
        <v>1</v>
      </c>
    </row>
    <row r="357" spans="1:13" x14ac:dyDescent="0.3">
      <c r="A357" s="4">
        <v>2</v>
      </c>
      <c r="B357" s="2">
        <v>356</v>
      </c>
      <c r="C357" s="42">
        <v>1</v>
      </c>
      <c r="D357" s="42" t="s">
        <v>81</v>
      </c>
      <c r="E357" s="42" t="s">
        <v>0</v>
      </c>
      <c r="F357" s="15" t="s">
        <v>41</v>
      </c>
      <c r="G357" s="15" t="s">
        <v>53</v>
      </c>
      <c r="H357" s="68"/>
      <c r="I357" s="68" t="s">
        <v>151</v>
      </c>
      <c r="J357" s="37">
        <f>IF(Table1214[[#This Row],[modality]]=D356,1,0)</f>
        <v>1</v>
      </c>
      <c r="K357" s="68">
        <f>IF(Table1214[[#This Row],[stimulus]]=G358, 1, 0)</f>
        <v>1</v>
      </c>
      <c r="L357" s="68">
        <f t="shared" si="34"/>
        <v>0</v>
      </c>
      <c r="M357" s="68">
        <f t="shared" si="35"/>
        <v>1</v>
      </c>
    </row>
    <row r="358" spans="1:13" x14ac:dyDescent="0.3">
      <c r="A358" s="4">
        <v>2</v>
      </c>
      <c r="B358" s="2">
        <v>357</v>
      </c>
      <c r="C358" s="43">
        <v>1</v>
      </c>
      <c r="D358" s="45" t="s">
        <v>80</v>
      </c>
      <c r="E358" s="43" t="s">
        <v>40</v>
      </c>
      <c r="F358" s="4" t="s">
        <v>10</v>
      </c>
      <c r="G358" s="4" t="s">
        <v>53</v>
      </c>
      <c r="H358" s="68"/>
      <c r="I358" s="68" t="s">
        <v>150</v>
      </c>
      <c r="J358" s="37">
        <f>IF(Table1214[[#This Row],[modality]]=D357,1,0)</f>
        <v>0</v>
      </c>
      <c r="K358" s="68">
        <f>IF(Table1214[[#This Row],[stimulus]]=G359, 1, 0)</f>
        <v>0</v>
      </c>
      <c r="L358" s="68">
        <f t="shared" si="34"/>
        <v>0</v>
      </c>
      <c r="M358" s="68">
        <f t="shared" si="35"/>
        <v>0</v>
      </c>
    </row>
    <row r="359" spans="1:13" x14ac:dyDescent="0.3">
      <c r="A359" s="4">
        <v>2</v>
      </c>
      <c r="B359" s="2">
        <v>358</v>
      </c>
      <c r="C359" s="39">
        <v>2</v>
      </c>
      <c r="D359" s="39" t="s">
        <v>80</v>
      </c>
      <c r="E359" s="39" t="s">
        <v>29</v>
      </c>
      <c r="F359" s="15" t="s">
        <v>42</v>
      </c>
      <c r="G359" s="15" t="s">
        <v>45</v>
      </c>
      <c r="H359" s="68"/>
      <c r="I359" s="68"/>
      <c r="J359" s="37">
        <f>IF(Table1214[[#This Row],[modality]]=D358,1,0)</f>
        <v>1</v>
      </c>
      <c r="K359" s="68">
        <f>IF(Table1214[[#This Row],[stimulus]]=G360, 1, 0)</f>
        <v>0</v>
      </c>
      <c r="L359" s="68">
        <f t="shared" si="34"/>
        <v>1</v>
      </c>
      <c r="M359" s="68">
        <f t="shared" si="35"/>
        <v>0</v>
      </c>
    </row>
    <row r="360" spans="1:13" x14ac:dyDescent="0.3">
      <c r="A360" s="4">
        <v>2</v>
      </c>
      <c r="B360" s="2">
        <v>359</v>
      </c>
      <c r="C360" s="43">
        <v>2</v>
      </c>
      <c r="D360" s="43" t="s">
        <v>80</v>
      </c>
      <c r="E360" s="43" t="s">
        <v>0</v>
      </c>
      <c r="F360" s="4" t="s">
        <v>41</v>
      </c>
      <c r="G360" s="4" t="s">
        <v>57</v>
      </c>
      <c r="H360" s="68"/>
      <c r="I360" s="68" t="s">
        <v>151</v>
      </c>
      <c r="J360" s="37">
        <f>IF(Table1214[[#This Row],[modality]]=D359,1,0)</f>
        <v>1</v>
      </c>
      <c r="K360" s="68">
        <f>IF(Table1214[[#This Row],[stimulus]]=G361, 1, 0)</f>
        <v>1</v>
      </c>
      <c r="L360" s="68">
        <f t="shared" si="34"/>
        <v>0</v>
      </c>
      <c r="M360" s="68">
        <f t="shared" si="35"/>
        <v>1</v>
      </c>
    </row>
    <row r="361" spans="1:13" x14ac:dyDescent="0.3">
      <c r="A361" s="4">
        <v>2</v>
      </c>
      <c r="B361" s="2">
        <v>360</v>
      </c>
      <c r="C361" s="69">
        <v>1</v>
      </c>
      <c r="D361" s="69" t="s">
        <v>81</v>
      </c>
      <c r="E361" s="69" t="s">
        <v>40</v>
      </c>
      <c r="F361" s="27" t="s">
        <v>10</v>
      </c>
      <c r="G361" s="27" t="s">
        <v>57</v>
      </c>
      <c r="H361" s="68"/>
      <c r="I361" s="68" t="s">
        <v>150</v>
      </c>
      <c r="J361" s="37">
        <f>IF(Table1214[[#This Row],[modality]]=D360,1,0)</f>
        <v>0</v>
      </c>
      <c r="K361" s="68">
        <f>IF(Table1214[[#This Row],[stimulus]]=G362, 1, 0)</f>
        <v>0</v>
      </c>
      <c r="L361" s="68">
        <f t="shared" si="34"/>
        <v>0</v>
      </c>
      <c r="M361" s="68">
        <f t="shared" si="35"/>
        <v>0</v>
      </c>
    </row>
    <row r="362" spans="1:13" x14ac:dyDescent="0.3">
      <c r="A362" s="4">
        <v>2</v>
      </c>
      <c r="B362" s="2">
        <v>361</v>
      </c>
      <c r="C362" s="39">
        <v>1</v>
      </c>
      <c r="D362" s="39" t="s">
        <v>81</v>
      </c>
      <c r="E362" s="39" t="s">
        <v>29</v>
      </c>
      <c r="F362" s="4" t="s">
        <v>42</v>
      </c>
      <c r="G362" s="4" t="s">
        <v>44</v>
      </c>
      <c r="H362" s="68"/>
      <c r="I362" s="68"/>
      <c r="J362" s="37">
        <f>IF(Table1214[[#This Row],[modality]]=D361,1,0)</f>
        <v>1</v>
      </c>
      <c r="K362" s="68">
        <f>IF(Table1214[[#This Row],[stimulus]]=G363, 1, 0)</f>
        <v>0</v>
      </c>
      <c r="L362" s="68">
        <f t="shared" si="34"/>
        <v>1</v>
      </c>
      <c r="M362" s="68">
        <f t="shared" si="35"/>
        <v>0</v>
      </c>
    </row>
    <row r="363" spans="1:13" x14ac:dyDescent="0.3">
      <c r="A363" s="4">
        <v>2</v>
      </c>
      <c r="B363" s="2">
        <v>362</v>
      </c>
      <c r="C363" s="42">
        <v>1</v>
      </c>
      <c r="D363" s="42" t="s">
        <v>81</v>
      </c>
      <c r="E363" s="42" t="s">
        <v>0</v>
      </c>
      <c r="F363" s="15" t="s">
        <v>41</v>
      </c>
      <c r="G363" s="15" t="s">
        <v>52</v>
      </c>
      <c r="H363" s="68"/>
      <c r="I363" s="68" t="s">
        <v>151</v>
      </c>
      <c r="J363" s="37">
        <f>IF(Table1214[[#This Row],[modality]]=D362,1,0)</f>
        <v>1</v>
      </c>
      <c r="K363" s="68">
        <f>IF(Table1214[[#This Row],[stimulus]]=G364, 1, 0)</f>
        <v>1</v>
      </c>
      <c r="L363" s="68">
        <f t="shared" si="34"/>
        <v>0</v>
      </c>
      <c r="M363" s="68">
        <f t="shared" si="35"/>
        <v>1</v>
      </c>
    </row>
    <row r="364" spans="1:13" x14ac:dyDescent="0.3">
      <c r="A364" s="4">
        <v>2</v>
      </c>
      <c r="B364" s="2">
        <v>363</v>
      </c>
      <c r="C364" s="43">
        <v>2</v>
      </c>
      <c r="D364" s="43" t="s">
        <v>80</v>
      </c>
      <c r="E364" s="43" t="s">
        <v>40</v>
      </c>
      <c r="F364" s="4" t="s">
        <v>10</v>
      </c>
      <c r="G364" s="4" t="s">
        <v>52</v>
      </c>
      <c r="H364" s="68"/>
      <c r="I364" s="68" t="s">
        <v>150</v>
      </c>
      <c r="J364" s="37">
        <f>IF(Table1214[[#This Row],[modality]]=D363,1,0)</f>
        <v>0</v>
      </c>
      <c r="K364" s="68">
        <f>IF(Table1214[[#This Row],[stimulus]]=G365, 1, 0)</f>
        <v>0</v>
      </c>
      <c r="L364" s="68">
        <f t="shared" si="34"/>
        <v>0</v>
      </c>
      <c r="M364" s="68">
        <f t="shared" si="35"/>
        <v>0</v>
      </c>
    </row>
    <row r="365" spans="1:13" x14ac:dyDescent="0.3">
      <c r="A365" s="4">
        <v>2</v>
      </c>
      <c r="B365" s="2">
        <v>364</v>
      </c>
      <c r="C365" s="42">
        <v>2</v>
      </c>
      <c r="D365" s="42" t="s">
        <v>80</v>
      </c>
      <c r="E365" s="42" t="s">
        <v>0</v>
      </c>
      <c r="F365" s="15" t="s">
        <v>41</v>
      </c>
      <c r="G365" s="15" t="s">
        <v>56</v>
      </c>
      <c r="H365" s="68"/>
      <c r="I365" s="68" t="s">
        <v>151</v>
      </c>
      <c r="J365" s="37">
        <f>IF(Table1214[[#This Row],[modality]]=D364,1,0)</f>
        <v>1</v>
      </c>
      <c r="K365" s="68">
        <f>IF(Table1214[[#This Row],[stimulus]]=G366, 1, 0)</f>
        <v>1</v>
      </c>
      <c r="L365" s="68">
        <f t="shared" si="34"/>
        <v>1</v>
      </c>
      <c r="M365" s="68">
        <f t="shared" si="35"/>
        <v>0</v>
      </c>
    </row>
    <row r="366" spans="1:13" x14ac:dyDescent="0.3">
      <c r="A366" s="4">
        <v>2</v>
      </c>
      <c r="B366" s="2">
        <v>365</v>
      </c>
      <c r="C366" s="43">
        <v>2</v>
      </c>
      <c r="D366" s="43" t="s">
        <v>80</v>
      </c>
      <c r="E366" s="43" t="s">
        <v>40</v>
      </c>
      <c r="F366" s="4" t="s">
        <v>9</v>
      </c>
      <c r="G366" s="4" t="s">
        <v>56</v>
      </c>
      <c r="H366" s="68"/>
      <c r="I366" s="68" t="s">
        <v>150</v>
      </c>
      <c r="J366" s="37">
        <f>IF(Table1214[[#This Row],[modality]]=D365,1,0)</f>
        <v>1</v>
      </c>
      <c r="K366" s="68">
        <f>IF(Table1214[[#This Row],[stimulus]]=G367, 1, 0)</f>
        <v>0</v>
      </c>
      <c r="L366" s="68">
        <f t="shared" si="34"/>
        <v>0</v>
      </c>
      <c r="M366" s="68">
        <f t="shared" si="35"/>
        <v>0</v>
      </c>
    </row>
    <row r="367" spans="1:13" x14ac:dyDescent="0.3">
      <c r="A367" s="4">
        <v>2</v>
      </c>
      <c r="B367" s="2">
        <v>366</v>
      </c>
      <c r="C367" s="39">
        <v>1</v>
      </c>
      <c r="D367" s="39" t="s">
        <v>81</v>
      </c>
      <c r="E367" s="39" t="s">
        <v>29</v>
      </c>
      <c r="F367" s="15" t="s">
        <v>42</v>
      </c>
      <c r="G367" s="15" t="s">
        <v>46</v>
      </c>
      <c r="H367" s="68"/>
      <c r="I367" s="68"/>
      <c r="J367" s="37">
        <f>IF(Table1214[[#This Row],[modality]]=D366,1,0)</f>
        <v>0</v>
      </c>
      <c r="K367" s="68">
        <f>IF(Table1214[[#This Row],[stimulus]]=G368, 1, 0)</f>
        <v>0</v>
      </c>
      <c r="L367" s="68">
        <f t="shared" si="34"/>
        <v>1</v>
      </c>
      <c r="M367" s="68">
        <f t="shared" si="35"/>
        <v>0</v>
      </c>
    </row>
    <row r="368" spans="1:13" x14ac:dyDescent="0.3">
      <c r="A368" s="4">
        <v>2</v>
      </c>
      <c r="B368" s="2">
        <v>367</v>
      </c>
      <c r="C368" s="43">
        <v>2</v>
      </c>
      <c r="D368" s="43" t="s">
        <v>80</v>
      </c>
      <c r="E368" s="43" t="s">
        <v>0</v>
      </c>
      <c r="F368" s="4" t="s">
        <v>41</v>
      </c>
      <c r="G368" s="4" t="s">
        <v>54</v>
      </c>
      <c r="H368" s="68"/>
      <c r="I368" s="68" t="s">
        <v>151</v>
      </c>
      <c r="J368" s="37">
        <f>IF(Table1214[[#This Row],[modality]]=D367,1,0)</f>
        <v>0</v>
      </c>
      <c r="K368" s="68">
        <f>IF(Table1214[[#This Row],[stimulus]]=G369, 1, 0)</f>
        <v>1</v>
      </c>
      <c r="L368" s="68">
        <f t="shared" si="34"/>
        <v>0</v>
      </c>
      <c r="M368" s="68">
        <f t="shared" si="35"/>
        <v>1</v>
      </c>
    </row>
    <row r="369" spans="1:13" x14ac:dyDescent="0.3">
      <c r="A369" s="4">
        <v>2</v>
      </c>
      <c r="B369" s="2">
        <v>368</v>
      </c>
      <c r="C369" s="69">
        <v>2</v>
      </c>
      <c r="D369" s="69" t="s">
        <v>80</v>
      </c>
      <c r="E369" s="69" t="s">
        <v>40</v>
      </c>
      <c r="F369" s="27" t="s">
        <v>9</v>
      </c>
      <c r="G369" s="27" t="s">
        <v>54</v>
      </c>
      <c r="H369" s="68"/>
      <c r="I369" s="68" t="s">
        <v>150</v>
      </c>
      <c r="J369" s="37">
        <f>IF(Table1214[[#This Row],[modality]]=D368,1,0)</f>
        <v>1</v>
      </c>
      <c r="K369" s="68">
        <f>IF(Table1214[[#This Row],[stimulus]]=G370, 1, 0)</f>
        <v>0</v>
      </c>
      <c r="L369" s="68">
        <f t="shared" si="34"/>
        <v>0</v>
      </c>
      <c r="M369" s="68">
        <f t="shared" si="35"/>
        <v>0</v>
      </c>
    </row>
    <row r="370" spans="1:13" x14ac:dyDescent="0.3">
      <c r="A370" s="79">
        <v>2</v>
      </c>
      <c r="B370" s="2">
        <v>369</v>
      </c>
      <c r="C370" s="61">
        <v>1</v>
      </c>
      <c r="D370" s="61" t="s">
        <v>81</v>
      </c>
      <c r="E370" s="61" t="s">
        <v>29</v>
      </c>
      <c r="F370" s="54" t="s">
        <v>42</v>
      </c>
      <c r="G370" s="54"/>
      <c r="H370" s="78" t="s">
        <v>127</v>
      </c>
      <c r="I370" s="68"/>
      <c r="J370" s="37">
        <f>IF(Table1214[[#This Row],[modality]]=D369,1,0)</f>
        <v>0</v>
      </c>
      <c r="K370" s="68">
        <f>IF(Table1214[[#This Row],[stimulus]]=G371, 1, 0)</f>
        <v>0</v>
      </c>
      <c r="L370" s="68">
        <f t="shared" si="34"/>
        <v>1</v>
      </c>
      <c r="M370" s="68">
        <f t="shared" si="35"/>
        <v>0</v>
      </c>
    </row>
    <row r="371" spans="1:13" x14ac:dyDescent="0.3">
      <c r="A371" s="4">
        <v>2</v>
      </c>
      <c r="B371" s="2">
        <v>370</v>
      </c>
      <c r="C371" s="39">
        <v>2</v>
      </c>
      <c r="D371" s="39" t="s">
        <v>80</v>
      </c>
      <c r="E371" s="39" t="s">
        <v>29</v>
      </c>
      <c r="F371" s="15" t="s">
        <v>42</v>
      </c>
      <c r="G371" s="15" t="s">
        <v>48</v>
      </c>
      <c r="H371" s="68"/>
      <c r="I371" s="68" t="s">
        <v>151</v>
      </c>
      <c r="J371" s="37">
        <f>IF(Table1214[[#This Row],[modality]]=D370,1,0)</f>
        <v>0</v>
      </c>
      <c r="K371" s="68">
        <f>IF(Table1214[[#This Row],[stimulus]]=G372, 1, 0)</f>
        <v>0</v>
      </c>
      <c r="L371" s="68">
        <f t="shared" si="34"/>
        <v>0</v>
      </c>
      <c r="M371" s="68">
        <f t="shared" si="35"/>
        <v>1</v>
      </c>
    </row>
    <row r="372" spans="1:13" x14ac:dyDescent="0.3">
      <c r="A372" s="4">
        <v>2</v>
      </c>
      <c r="B372" s="2">
        <v>371</v>
      </c>
      <c r="C372" s="43">
        <v>2</v>
      </c>
      <c r="D372" s="43" t="s">
        <v>80</v>
      </c>
      <c r="E372" s="43" t="s">
        <v>0</v>
      </c>
      <c r="F372" s="4" t="s">
        <v>41</v>
      </c>
      <c r="G372" s="4" t="s">
        <v>58</v>
      </c>
      <c r="H372" s="68"/>
      <c r="I372" s="68" t="s">
        <v>151</v>
      </c>
      <c r="J372" s="37">
        <f>IF(Table1214[[#This Row],[modality]]=D371,1,0)</f>
        <v>1</v>
      </c>
      <c r="K372" s="68">
        <f>IF(Table1214[[#This Row],[stimulus]]=G373, 1, 0)</f>
        <v>1</v>
      </c>
      <c r="L372" s="68">
        <f t="shared" si="34"/>
        <v>0</v>
      </c>
      <c r="M372" s="68">
        <f t="shared" si="35"/>
        <v>1</v>
      </c>
    </row>
    <row r="373" spans="1:13" x14ac:dyDescent="0.3">
      <c r="A373" s="4">
        <v>2</v>
      </c>
      <c r="B373" s="2">
        <v>372</v>
      </c>
      <c r="C373" s="69">
        <v>1</v>
      </c>
      <c r="D373" s="69" t="s">
        <v>81</v>
      </c>
      <c r="E373" s="69" t="s">
        <v>40</v>
      </c>
      <c r="F373" s="27" t="s">
        <v>10</v>
      </c>
      <c r="G373" s="27" t="s">
        <v>58</v>
      </c>
      <c r="H373" s="68"/>
      <c r="I373" s="68" t="s">
        <v>150</v>
      </c>
      <c r="J373" s="37">
        <f>IF(Table1214[[#This Row],[modality]]=D372,1,0)</f>
        <v>0</v>
      </c>
      <c r="K373" s="68">
        <f>IF(Table1214[[#This Row],[stimulus]]=G374, 1, 0)</f>
        <v>0</v>
      </c>
      <c r="L373" s="68">
        <f t="shared" si="34"/>
        <v>0</v>
      </c>
      <c r="M373" s="68">
        <f t="shared" si="35"/>
        <v>0</v>
      </c>
    </row>
    <row r="374" spans="1:13" x14ac:dyDescent="0.3">
      <c r="A374" s="7">
        <v>3</v>
      </c>
      <c r="B374" s="2">
        <v>373</v>
      </c>
      <c r="C374" s="42">
        <v>1</v>
      </c>
      <c r="D374" s="42" t="s">
        <v>81</v>
      </c>
      <c r="E374" s="42" t="s">
        <v>0</v>
      </c>
      <c r="F374" s="15" t="s">
        <v>41</v>
      </c>
      <c r="G374" s="15" t="s">
        <v>63</v>
      </c>
      <c r="H374" s="68"/>
      <c r="I374" s="68" t="s">
        <v>151</v>
      </c>
      <c r="J374" s="37">
        <f>IF(Table1214[[#This Row],[modality]]=D373,1,0)</f>
        <v>1</v>
      </c>
      <c r="K374" s="68">
        <f>IF(Table1214[[#This Row],[stimulus]]=G375, 1, 0)</f>
        <v>1</v>
      </c>
      <c r="L374" s="68">
        <f t="shared" si="34"/>
        <v>1</v>
      </c>
      <c r="M374" s="68">
        <f t="shared" si="35"/>
        <v>0</v>
      </c>
    </row>
    <row r="375" spans="1:13" x14ac:dyDescent="0.3">
      <c r="A375" s="7">
        <v>3</v>
      </c>
      <c r="B375" s="2">
        <v>374</v>
      </c>
      <c r="C375" s="69">
        <v>2</v>
      </c>
      <c r="D375" s="69" t="s">
        <v>80</v>
      </c>
      <c r="E375" s="69" t="s">
        <v>40</v>
      </c>
      <c r="F375" s="27" t="s">
        <v>10</v>
      </c>
      <c r="G375" s="27" t="s">
        <v>63</v>
      </c>
      <c r="H375" s="68"/>
      <c r="I375" s="68" t="s">
        <v>150</v>
      </c>
      <c r="J375" s="37">
        <f>IF(Table1214[[#This Row],[modality]]=D374,1,0)</f>
        <v>0</v>
      </c>
      <c r="K375" s="68">
        <f>IF(Table1214[[#This Row],[stimulus]]=G376, 1, 0)</f>
        <v>0</v>
      </c>
      <c r="L375" s="68">
        <f t="shared" si="34"/>
        <v>0</v>
      </c>
      <c r="M375" s="68">
        <f t="shared" si="35"/>
        <v>0</v>
      </c>
    </row>
    <row r="376" spans="1:13" x14ac:dyDescent="0.3">
      <c r="A376" s="7">
        <v>3</v>
      </c>
      <c r="B376" s="2">
        <v>375</v>
      </c>
      <c r="C376" s="40">
        <v>2</v>
      </c>
      <c r="D376" s="40" t="s">
        <v>80</v>
      </c>
      <c r="E376" s="40" t="s">
        <v>29</v>
      </c>
      <c r="F376" s="15" t="s">
        <v>42</v>
      </c>
      <c r="G376" s="15" t="s">
        <v>51</v>
      </c>
      <c r="H376" s="68"/>
      <c r="I376" s="68"/>
      <c r="J376" s="37">
        <f>IF(Table1214[[#This Row],[modality]]=D375,1,0)</f>
        <v>1</v>
      </c>
      <c r="K376" s="68">
        <f>IF(Table1214[[#This Row],[stimulus]]=G377, 1, 0)</f>
        <v>0</v>
      </c>
      <c r="L376" s="68">
        <f t="shared" si="34"/>
        <v>1</v>
      </c>
      <c r="M376" s="68">
        <f t="shared" si="35"/>
        <v>0</v>
      </c>
    </row>
    <row r="377" spans="1:13" x14ac:dyDescent="0.3">
      <c r="A377" s="7">
        <v>3</v>
      </c>
      <c r="B377" s="2">
        <v>376</v>
      </c>
      <c r="C377" s="42">
        <v>2</v>
      </c>
      <c r="D377" s="42" t="s">
        <v>80</v>
      </c>
      <c r="E377" s="42" t="s">
        <v>0</v>
      </c>
      <c r="F377" s="15" t="s">
        <v>41</v>
      </c>
      <c r="G377" s="15" t="s">
        <v>59</v>
      </c>
      <c r="H377" s="68"/>
      <c r="I377" s="68" t="s">
        <v>151</v>
      </c>
      <c r="J377" s="37">
        <f>IF(Table1214[[#This Row],[modality]]=D376,1,0)</f>
        <v>1</v>
      </c>
      <c r="K377" s="68">
        <f>IF(Table1214[[#This Row],[stimulus]]=G378, 1, 0)</f>
        <v>1</v>
      </c>
      <c r="L377" s="68">
        <f t="shared" si="34"/>
        <v>0</v>
      </c>
      <c r="M377" s="68">
        <f t="shared" si="35"/>
        <v>1</v>
      </c>
    </row>
    <row r="378" spans="1:13" x14ac:dyDescent="0.3">
      <c r="A378" s="7">
        <v>3</v>
      </c>
      <c r="B378" s="2">
        <v>377</v>
      </c>
      <c r="C378" s="43">
        <v>1</v>
      </c>
      <c r="D378" s="43" t="s">
        <v>81</v>
      </c>
      <c r="E378" s="43" t="s">
        <v>40</v>
      </c>
      <c r="F378" s="4" t="s">
        <v>10</v>
      </c>
      <c r="G378" s="4" t="s">
        <v>59</v>
      </c>
      <c r="H378" s="68"/>
      <c r="I378" s="68" t="s">
        <v>150</v>
      </c>
      <c r="J378" s="37">
        <f>IF(Table1214[[#This Row],[modality]]=D377,1,0)</f>
        <v>0</v>
      </c>
      <c r="K378" s="68">
        <f>IF(Table1214[[#This Row],[stimulus]]=G379, 1, 0)</f>
        <v>0</v>
      </c>
      <c r="L378" s="68">
        <f t="shared" si="34"/>
        <v>0</v>
      </c>
      <c r="M378" s="68">
        <f t="shared" si="35"/>
        <v>0</v>
      </c>
    </row>
    <row r="379" spans="1:13" x14ac:dyDescent="0.3">
      <c r="A379" s="7">
        <v>3</v>
      </c>
      <c r="B379" s="2">
        <v>378</v>
      </c>
      <c r="C379" s="40">
        <v>1</v>
      </c>
      <c r="D379" s="40" t="s">
        <v>81</v>
      </c>
      <c r="E379" s="40" t="s">
        <v>29</v>
      </c>
      <c r="F379" s="27" t="s">
        <v>42</v>
      </c>
      <c r="G379" s="27" t="s">
        <v>55</v>
      </c>
      <c r="H379" s="68"/>
      <c r="I379" s="68"/>
      <c r="J379" s="37">
        <f>IF(Table1214[[#This Row],[modality]]=D378,1,0)</f>
        <v>1</v>
      </c>
      <c r="K379" s="68">
        <f>IF(Table1214[[#This Row],[stimulus]]=G380, 1, 0)</f>
        <v>0</v>
      </c>
      <c r="L379" s="68">
        <f t="shared" si="34"/>
        <v>1</v>
      </c>
      <c r="M379" s="68">
        <f t="shared" si="35"/>
        <v>0</v>
      </c>
    </row>
    <row r="380" spans="1:13" x14ac:dyDescent="0.3">
      <c r="A380" s="7">
        <v>3</v>
      </c>
      <c r="B380" s="2">
        <v>379</v>
      </c>
      <c r="C380" s="42">
        <v>1</v>
      </c>
      <c r="D380" s="42" t="s">
        <v>81</v>
      </c>
      <c r="E380" s="42" t="s">
        <v>0</v>
      </c>
      <c r="F380" s="15" t="s">
        <v>41</v>
      </c>
      <c r="G380" s="15" t="s">
        <v>65</v>
      </c>
      <c r="H380" s="68"/>
      <c r="I380" s="68" t="s">
        <v>151</v>
      </c>
      <c r="J380" s="37">
        <f>IF(Table1214[[#This Row],[modality]]=D379,1,0)</f>
        <v>1</v>
      </c>
      <c r="K380" s="68">
        <f>IF(Table1214[[#This Row],[stimulus]]=G381, 1, 0)</f>
        <v>1</v>
      </c>
      <c r="L380" s="68">
        <f t="shared" si="34"/>
        <v>0</v>
      </c>
      <c r="M380" s="68">
        <f t="shared" si="35"/>
        <v>1</v>
      </c>
    </row>
    <row r="381" spans="1:13" x14ac:dyDescent="0.3">
      <c r="A381" s="7">
        <v>3</v>
      </c>
      <c r="B381" s="2">
        <v>380</v>
      </c>
      <c r="C381" s="69">
        <v>2</v>
      </c>
      <c r="D381" s="69" t="s">
        <v>80</v>
      </c>
      <c r="E381" s="69" t="s">
        <v>40</v>
      </c>
      <c r="F381" s="27" t="s">
        <v>10</v>
      </c>
      <c r="G381" s="27" t="s">
        <v>65</v>
      </c>
      <c r="H381" s="68"/>
      <c r="I381" s="68" t="s">
        <v>150</v>
      </c>
      <c r="J381" s="37">
        <f>IF(Table1214[[#This Row],[modality]]=D380,1,0)</f>
        <v>0</v>
      </c>
      <c r="K381" s="68">
        <f>IF(Table1214[[#This Row],[stimulus]]=G382, 1, 0)</f>
        <v>0</v>
      </c>
      <c r="L381" s="68">
        <f t="shared" si="34"/>
        <v>0</v>
      </c>
      <c r="M381" s="68">
        <f t="shared" si="35"/>
        <v>0</v>
      </c>
    </row>
    <row r="382" spans="1:13" x14ac:dyDescent="0.3">
      <c r="A382" s="7">
        <v>3</v>
      </c>
      <c r="B382" s="2">
        <v>381</v>
      </c>
      <c r="C382" s="40">
        <v>1</v>
      </c>
      <c r="D382" s="40" t="s">
        <v>81</v>
      </c>
      <c r="E382" s="40" t="s">
        <v>29</v>
      </c>
      <c r="F382" s="15" t="s">
        <v>42</v>
      </c>
      <c r="G382" s="15" t="s">
        <v>53</v>
      </c>
      <c r="H382" s="68"/>
      <c r="I382" s="68"/>
      <c r="J382" s="37">
        <f>IF(Table1214[[#This Row],[modality]]=D381,1,0)</f>
        <v>0</v>
      </c>
      <c r="K382" s="68">
        <f>IF(Table1214[[#This Row],[stimulus]]=G384, 1, 0)</f>
        <v>0</v>
      </c>
      <c r="L382" s="68">
        <f t="shared" si="34"/>
        <v>1</v>
      </c>
      <c r="M382" s="68">
        <f t="shared" si="35"/>
        <v>0</v>
      </c>
    </row>
    <row r="383" spans="1:13" x14ac:dyDescent="0.3">
      <c r="A383" s="4">
        <v>3</v>
      </c>
      <c r="B383" s="2">
        <v>382</v>
      </c>
      <c r="C383" s="40">
        <v>1</v>
      </c>
      <c r="D383" s="40" t="s">
        <v>81</v>
      </c>
      <c r="E383" s="40" t="s">
        <v>29</v>
      </c>
      <c r="F383" s="15" t="s">
        <v>42</v>
      </c>
      <c r="G383" s="15" t="s">
        <v>56</v>
      </c>
      <c r="H383" s="68"/>
      <c r="I383" s="68"/>
      <c r="J383" s="37">
        <f>IF(Table1214[[#This Row],[modality]]=D382,1,0)</f>
        <v>1</v>
      </c>
      <c r="K383" s="68">
        <f>IF(Table1214[[#This Row],[stimulus]]=G384, 1, 0)</f>
        <v>0</v>
      </c>
      <c r="L383" s="68">
        <f t="shared" si="34"/>
        <v>0</v>
      </c>
      <c r="M383" s="68">
        <f t="shared" si="35"/>
        <v>1</v>
      </c>
    </row>
    <row r="384" spans="1:13" x14ac:dyDescent="0.3">
      <c r="A384" s="7">
        <v>3</v>
      </c>
      <c r="B384" s="2">
        <v>383</v>
      </c>
      <c r="C384" s="88">
        <v>2</v>
      </c>
      <c r="D384" s="88" t="s">
        <v>80</v>
      </c>
      <c r="E384" s="88" t="s">
        <v>0</v>
      </c>
      <c r="F384" s="89" t="s">
        <v>41</v>
      </c>
      <c r="G384" s="89" t="s">
        <v>61</v>
      </c>
      <c r="H384" s="68"/>
      <c r="I384" s="68" t="s">
        <v>151</v>
      </c>
      <c r="J384" s="37">
        <f>IF(Table1214[[#This Row],[modality]]=D382,1,0)</f>
        <v>0</v>
      </c>
      <c r="K384" s="68">
        <f>IF(Table1214[[#This Row],[stimulus]]=G385, 1, 0)</f>
        <v>1</v>
      </c>
      <c r="L384" s="68">
        <f>IF(E382="T",1,0)</f>
        <v>0</v>
      </c>
      <c r="M384" s="68">
        <f>IF(E382="F",1,0)</f>
        <v>1</v>
      </c>
    </row>
    <row r="385" spans="1:13" x14ac:dyDescent="0.3">
      <c r="A385" s="7">
        <v>3</v>
      </c>
      <c r="B385" s="2">
        <v>384</v>
      </c>
      <c r="C385" s="42">
        <v>2</v>
      </c>
      <c r="D385" s="42" t="s">
        <v>80</v>
      </c>
      <c r="E385" s="42" t="s">
        <v>40</v>
      </c>
      <c r="F385" s="15" t="s">
        <v>9</v>
      </c>
      <c r="G385" s="15" t="s">
        <v>61</v>
      </c>
      <c r="H385" s="68"/>
      <c r="I385" s="68" t="s">
        <v>150</v>
      </c>
      <c r="J385" s="37">
        <f>IF(Table1214[[#This Row],[modality]]=D384,1,0)</f>
        <v>1</v>
      </c>
      <c r="K385" s="68">
        <f>IF(Table1214[[#This Row],[stimulus]]=G386, 1, 0)</f>
        <v>0</v>
      </c>
      <c r="L385" s="68">
        <f>IF(E384="T",1,0)</f>
        <v>0</v>
      </c>
      <c r="M385" s="68">
        <f>IF(E384="F",1,0)</f>
        <v>0</v>
      </c>
    </row>
    <row r="386" spans="1:13" x14ac:dyDescent="0.3">
      <c r="A386" s="7">
        <v>3</v>
      </c>
      <c r="B386" s="2">
        <v>385</v>
      </c>
      <c r="C386" s="40">
        <v>2</v>
      </c>
      <c r="D386" s="40" t="s">
        <v>80</v>
      </c>
      <c r="E386" s="40" t="s">
        <v>29</v>
      </c>
      <c r="F386" s="27" t="s">
        <v>42</v>
      </c>
      <c r="G386" s="27" t="s">
        <v>57</v>
      </c>
      <c r="H386" s="68"/>
      <c r="I386" s="68"/>
      <c r="J386" s="37">
        <f>IF(Table1214[[#This Row],[modality]]=D385,1,0)</f>
        <v>1</v>
      </c>
      <c r="K386" s="68">
        <f>IF(Table1214[[#This Row],[stimulus]]=G387, 1, 0)</f>
        <v>0</v>
      </c>
      <c r="L386" s="68">
        <f>IF(E385="T",1,0)</f>
        <v>1</v>
      </c>
      <c r="M386" s="68">
        <f>IF(E385="F",1,0)</f>
        <v>0</v>
      </c>
    </row>
    <row r="387" spans="1:13" x14ac:dyDescent="0.3">
      <c r="A387" s="7">
        <v>3</v>
      </c>
      <c r="B387" s="2">
        <v>386</v>
      </c>
      <c r="C387" s="40">
        <v>1</v>
      </c>
      <c r="D387" s="40" t="s">
        <v>81</v>
      </c>
      <c r="E387" s="40" t="s">
        <v>29</v>
      </c>
      <c r="F387" s="15" t="s">
        <v>42</v>
      </c>
      <c r="G387" s="15" t="s">
        <v>52</v>
      </c>
      <c r="H387" s="68"/>
      <c r="I387" s="68" t="s">
        <v>151</v>
      </c>
      <c r="J387" s="37">
        <f>IF(Table1214[[#This Row],[modality]]=D386,1,0)</f>
        <v>0</v>
      </c>
      <c r="K387" s="68">
        <f>IF(Table1214[[#This Row],[stimulus]]=G388, 1, 0)</f>
        <v>0</v>
      </c>
      <c r="L387" s="68">
        <f t="shared" ref="L387:L410" si="36">IF(E386="T",1,0)</f>
        <v>0</v>
      </c>
      <c r="M387" s="68">
        <f t="shared" ref="M387:M410" si="37">IF(E386="F",1,0)</f>
        <v>1</v>
      </c>
    </row>
    <row r="388" spans="1:13" x14ac:dyDescent="0.3">
      <c r="A388" s="7">
        <v>3</v>
      </c>
      <c r="B388" s="2">
        <v>387</v>
      </c>
      <c r="C388" s="69">
        <v>2</v>
      </c>
      <c r="D388" s="69" t="s">
        <v>80</v>
      </c>
      <c r="E388" s="69" t="s">
        <v>0</v>
      </c>
      <c r="F388" s="27" t="s">
        <v>41</v>
      </c>
      <c r="G388" s="27" t="s">
        <v>60</v>
      </c>
      <c r="H388" s="68"/>
      <c r="I388" s="68" t="s">
        <v>151</v>
      </c>
      <c r="J388" s="37">
        <f>IF(Table1214[[#This Row],[modality]]=D387,1,0)</f>
        <v>0</v>
      </c>
      <c r="K388" s="68">
        <f>IF(Table1214[[#This Row],[stimulus]]=G389, 1, 0)</f>
        <v>1</v>
      </c>
      <c r="L388" s="68">
        <f t="shared" si="36"/>
        <v>0</v>
      </c>
      <c r="M388" s="68">
        <f t="shared" si="37"/>
        <v>1</v>
      </c>
    </row>
    <row r="389" spans="1:13" x14ac:dyDescent="0.3">
      <c r="A389" s="7">
        <v>3</v>
      </c>
      <c r="B389" s="2">
        <v>388</v>
      </c>
      <c r="C389" s="42">
        <v>2</v>
      </c>
      <c r="D389" s="42" t="s">
        <v>80</v>
      </c>
      <c r="E389" s="42" t="s">
        <v>40</v>
      </c>
      <c r="F389" s="15" t="s">
        <v>9</v>
      </c>
      <c r="G389" s="15" t="s">
        <v>60</v>
      </c>
      <c r="H389" s="68"/>
      <c r="I389" s="68" t="s">
        <v>150</v>
      </c>
      <c r="J389" s="37">
        <f>IF(Table1214[[#This Row],[modality]]=D388,1,0)</f>
        <v>1</v>
      </c>
      <c r="K389" s="68">
        <f>IF(Table1214[[#This Row],[stimulus]]=G390, 1, 0)</f>
        <v>0</v>
      </c>
      <c r="L389" s="68">
        <f t="shared" si="36"/>
        <v>0</v>
      </c>
      <c r="M389" s="68">
        <f t="shared" si="37"/>
        <v>0</v>
      </c>
    </row>
    <row r="390" spans="1:13" x14ac:dyDescent="0.3">
      <c r="A390" s="7">
        <v>3</v>
      </c>
      <c r="B390" s="2">
        <v>389</v>
      </c>
      <c r="C390" s="69">
        <v>2</v>
      </c>
      <c r="D390" s="69" t="s">
        <v>80</v>
      </c>
      <c r="E390" s="69" t="s">
        <v>0</v>
      </c>
      <c r="F390" s="27" t="s">
        <v>41</v>
      </c>
      <c r="G390" s="27" t="s">
        <v>66</v>
      </c>
      <c r="H390" s="68"/>
      <c r="I390" s="68" t="s">
        <v>151</v>
      </c>
      <c r="J390" s="37">
        <f>IF(Table1214[[#This Row],[modality]]=D389,1,0)</f>
        <v>1</v>
      </c>
      <c r="K390" s="68">
        <f>IF(Table1214[[#This Row],[stimulus]]=G391, 1, 0)</f>
        <v>1</v>
      </c>
      <c r="L390" s="68">
        <f t="shared" si="36"/>
        <v>1</v>
      </c>
      <c r="M390" s="68">
        <f t="shared" si="37"/>
        <v>0</v>
      </c>
    </row>
    <row r="391" spans="1:13" x14ac:dyDescent="0.3">
      <c r="A391" s="7">
        <v>3</v>
      </c>
      <c r="B391" s="2">
        <v>390</v>
      </c>
      <c r="C391" s="42">
        <v>1</v>
      </c>
      <c r="D391" s="42" t="s">
        <v>81</v>
      </c>
      <c r="E391" s="42" t="s">
        <v>40</v>
      </c>
      <c r="F391" s="15" t="s">
        <v>10</v>
      </c>
      <c r="G391" s="15" t="s">
        <v>66</v>
      </c>
      <c r="H391" s="68"/>
      <c r="I391" s="68" t="s">
        <v>150</v>
      </c>
      <c r="J391" s="37">
        <f>IF(Table1214[[#This Row],[modality]]=D390,1,0)</f>
        <v>0</v>
      </c>
      <c r="K391" s="68">
        <f>IF(Table1214[[#This Row],[stimulus]]=G392, 1, 0)</f>
        <v>0</v>
      </c>
      <c r="L391" s="68">
        <f t="shared" si="36"/>
        <v>0</v>
      </c>
      <c r="M391" s="68">
        <f t="shared" si="37"/>
        <v>0</v>
      </c>
    </row>
    <row r="392" spans="1:13" x14ac:dyDescent="0.3">
      <c r="A392" s="7">
        <v>3</v>
      </c>
      <c r="B392" s="2">
        <v>391</v>
      </c>
      <c r="C392" s="40">
        <v>2</v>
      </c>
      <c r="D392" s="40" t="s">
        <v>80</v>
      </c>
      <c r="E392" s="40" t="s">
        <v>29</v>
      </c>
      <c r="F392" s="15" t="s">
        <v>42</v>
      </c>
      <c r="G392" s="15" t="s">
        <v>54</v>
      </c>
      <c r="H392" s="68"/>
      <c r="I392" s="68"/>
      <c r="J392" s="37">
        <f>IF(Table1214[[#This Row],[modality]]=D391,1,0)</f>
        <v>0</v>
      </c>
      <c r="K392" s="68">
        <f>IF(Table1214[[#This Row],[stimulus]]=G394, 1, 0)</f>
        <v>0</v>
      </c>
      <c r="L392" s="68">
        <f t="shared" si="36"/>
        <v>1</v>
      </c>
      <c r="M392" s="68">
        <f t="shared" si="37"/>
        <v>0</v>
      </c>
    </row>
    <row r="393" spans="1:13" x14ac:dyDescent="0.3">
      <c r="A393" s="4">
        <v>3</v>
      </c>
      <c r="B393" s="2">
        <v>392</v>
      </c>
      <c r="C393" s="76">
        <v>2</v>
      </c>
      <c r="D393" s="76" t="s">
        <v>80</v>
      </c>
      <c r="E393" s="76" t="s">
        <v>29</v>
      </c>
      <c r="F393" s="75" t="s">
        <v>42</v>
      </c>
      <c r="G393" s="75" t="s">
        <v>55</v>
      </c>
      <c r="H393" s="68"/>
      <c r="I393" s="68" t="s">
        <v>151</v>
      </c>
      <c r="J393" s="37">
        <f>IF(Table1214[[#This Row],[modality]]=D392,1,0)</f>
        <v>1</v>
      </c>
      <c r="K393" s="68">
        <f>IF(Table1214[[#This Row],[stimulus]]=G394, 1, 0)</f>
        <v>0</v>
      </c>
      <c r="L393" s="68">
        <f>IF(E392="T",1,0)</f>
        <v>0</v>
      </c>
      <c r="M393" s="68">
        <f>IF(E392="F",1,0)</f>
        <v>1</v>
      </c>
    </row>
    <row r="394" spans="1:13" x14ac:dyDescent="0.3">
      <c r="A394" s="7">
        <v>3</v>
      </c>
      <c r="B394" s="2">
        <v>393</v>
      </c>
      <c r="C394" s="40">
        <v>1</v>
      </c>
      <c r="D394" s="40" t="s">
        <v>81</v>
      </c>
      <c r="E394" s="40" t="s">
        <v>29</v>
      </c>
      <c r="F394" s="4" t="s">
        <v>42</v>
      </c>
      <c r="G394" s="4" t="s">
        <v>56</v>
      </c>
      <c r="H394" s="68"/>
      <c r="I394" s="68"/>
      <c r="J394" s="37">
        <f>IF(Table1214[[#This Row],[modality]]=D392,1,0)</f>
        <v>0</v>
      </c>
      <c r="K394" s="68">
        <f>IF(Table1214[[#This Row],[stimulus]]=G395, 1, 0)</f>
        <v>0</v>
      </c>
      <c r="L394" s="68">
        <f>IF(E392="T",1,0)</f>
        <v>0</v>
      </c>
      <c r="M394" s="68">
        <f>IF(E392="F",1,0)</f>
        <v>1</v>
      </c>
    </row>
    <row r="395" spans="1:13" x14ac:dyDescent="0.3">
      <c r="A395" s="7">
        <v>3</v>
      </c>
      <c r="B395" s="2">
        <v>394</v>
      </c>
      <c r="C395" s="69">
        <v>1</v>
      </c>
      <c r="D395" s="69" t="s">
        <v>81</v>
      </c>
      <c r="E395" s="69" t="s">
        <v>0</v>
      </c>
      <c r="F395" s="27" t="s">
        <v>41</v>
      </c>
      <c r="G395" s="27" t="s">
        <v>64</v>
      </c>
      <c r="H395" s="68"/>
      <c r="I395" s="68" t="s">
        <v>151</v>
      </c>
      <c r="J395" s="37">
        <f>IF(Table1214[[#This Row],[modality]]=D394,1,0)</f>
        <v>1</v>
      </c>
      <c r="K395" s="68">
        <f>IF(Table1214[[#This Row],[stimulus]]=G396, 1, 0)</f>
        <v>1</v>
      </c>
      <c r="L395" s="68">
        <f t="shared" si="36"/>
        <v>0</v>
      </c>
      <c r="M395" s="68">
        <f t="shared" si="37"/>
        <v>1</v>
      </c>
    </row>
    <row r="396" spans="1:13" x14ac:dyDescent="0.3">
      <c r="A396" s="7">
        <v>3</v>
      </c>
      <c r="B396" s="2">
        <v>395</v>
      </c>
      <c r="C396" s="42">
        <v>1</v>
      </c>
      <c r="D396" s="42" t="s">
        <v>81</v>
      </c>
      <c r="E396" s="42" t="s">
        <v>40</v>
      </c>
      <c r="F396" s="15" t="s">
        <v>9</v>
      </c>
      <c r="G396" s="15" t="s">
        <v>64</v>
      </c>
      <c r="H396" s="68"/>
      <c r="I396" s="68" t="s">
        <v>150</v>
      </c>
      <c r="J396" s="37">
        <f>IF(Table1214[[#This Row],[modality]]=D395,1,0)</f>
        <v>1</v>
      </c>
      <c r="K396" s="68">
        <f>IF(Table1214[[#This Row],[stimulus]]=G397, 1, 0)</f>
        <v>0</v>
      </c>
      <c r="L396" s="68">
        <f t="shared" si="36"/>
        <v>0</v>
      </c>
      <c r="M396" s="68">
        <f t="shared" si="37"/>
        <v>0</v>
      </c>
    </row>
    <row r="397" spans="1:13" x14ac:dyDescent="0.3">
      <c r="A397" s="7">
        <v>3</v>
      </c>
      <c r="B397" s="2">
        <v>396</v>
      </c>
      <c r="C397" s="40">
        <v>2</v>
      </c>
      <c r="D397" s="40" t="s">
        <v>80</v>
      </c>
      <c r="E397" s="40" t="s">
        <v>29</v>
      </c>
      <c r="F397" s="27" t="s">
        <v>42</v>
      </c>
      <c r="G397" s="27" t="s">
        <v>58</v>
      </c>
      <c r="H397" s="68"/>
      <c r="I397" s="68"/>
      <c r="J397" s="37">
        <f>IF(Table1214[[#This Row],[modality]]=D396,1,0)</f>
        <v>0</v>
      </c>
      <c r="K397" s="68">
        <f>IF(Table1214[[#This Row],[stimulus]]=G398, 1, 0)</f>
        <v>0</v>
      </c>
      <c r="L397" s="68">
        <f t="shared" si="36"/>
        <v>1</v>
      </c>
      <c r="M397" s="68">
        <f t="shared" si="37"/>
        <v>0</v>
      </c>
    </row>
    <row r="398" spans="1:13" x14ac:dyDescent="0.3">
      <c r="A398" s="7">
        <v>3</v>
      </c>
      <c r="B398" s="2">
        <v>397</v>
      </c>
      <c r="C398" s="42">
        <v>1</v>
      </c>
      <c r="D398" s="42" t="s">
        <v>81</v>
      </c>
      <c r="E398" s="42" t="s">
        <v>0</v>
      </c>
      <c r="F398" s="15" t="s">
        <v>41</v>
      </c>
      <c r="G398" s="15" t="s">
        <v>62</v>
      </c>
      <c r="H398" s="68"/>
      <c r="I398" s="68" t="s">
        <v>151</v>
      </c>
      <c r="J398" s="37">
        <f>IF(Table1214[[#This Row],[modality]]=D397,1,0)</f>
        <v>0</v>
      </c>
      <c r="K398" s="68">
        <f>IF(Table1214[[#This Row],[stimulus]]=G399, 1, 0)</f>
        <v>1</v>
      </c>
      <c r="L398" s="68">
        <f t="shared" si="36"/>
        <v>0</v>
      </c>
      <c r="M398" s="68">
        <f t="shared" si="37"/>
        <v>1</v>
      </c>
    </row>
    <row r="399" spans="1:13" x14ac:dyDescent="0.3">
      <c r="A399" s="7">
        <v>3</v>
      </c>
      <c r="B399" s="2">
        <v>398</v>
      </c>
      <c r="C399" s="69">
        <v>1</v>
      </c>
      <c r="D399" s="69" t="s">
        <v>81</v>
      </c>
      <c r="E399" s="69" t="s">
        <v>40</v>
      </c>
      <c r="F399" s="27" t="s">
        <v>9</v>
      </c>
      <c r="G399" s="27" t="s">
        <v>62</v>
      </c>
      <c r="H399" s="68"/>
      <c r="I399" s="68" t="s">
        <v>150</v>
      </c>
      <c r="J399" s="37">
        <f>IF(Table1214[[#This Row],[modality]]=D398,1,0)</f>
        <v>1</v>
      </c>
      <c r="K399" s="68">
        <f>IF(Table1214[[#This Row],[stimulus]]=G400, 1, 0)</f>
        <v>0</v>
      </c>
      <c r="L399" s="68">
        <f t="shared" si="36"/>
        <v>0</v>
      </c>
      <c r="M399" s="68">
        <f t="shared" si="37"/>
        <v>0</v>
      </c>
    </row>
    <row r="400" spans="1:13" x14ac:dyDescent="0.3">
      <c r="A400" s="4">
        <v>4</v>
      </c>
      <c r="B400" s="2">
        <v>399</v>
      </c>
      <c r="C400" s="41">
        <v>1</v>
      </c>
      <c r="D400" s="41" t="s">
        <v>81</v>
      </c>
      <c r="E400" s="41" t="s">
        <v>29</v>
      </c>
      <c r="F400" s="15" t="s">
        <v>42</v>
      </c>
      <c r="G400" s="15" t="s">
        <v>59</v>
      </c>
      <c r="H400" s="68"/>
      <c r="I400" s="68"/>
      <c r="J400" s="37">
        <f>IF(Table1214[[#This Row],[modality]]=D399,1,0)</f>
        <v>1</v>
      </c>
      <c r="K400" s="68">
        <f>IF(Table1214[[#This Row],[stimulus]]=G401, 1, 0)</f>
        <v>0</v>
      </c>
      <c r="L400" s="68">
        <f t="shared" si="36"/>
        <v>1</v>
      </c>
      <c r="M400" s="68">
        <f t="shared" si="37"/>
        <v>0</v>
      </c>
    </row>
    <row r="401" spans="1:13" x14ac:dyDescent="0.3">
      <c r="A401" s="4">
        <v>4</v>
      </c>
      <c r="B401" s="2">
        <v>400</v>
      </c>
      <c r="C401" s="41">
        <v>2</v>
      </c>
      <c r="D401" s="41" t="s">
        <v>80</v>
      </c>
      <c r="E401" s="41" t="s">
        <v>29</v>
      </c>
      <c r="F401" s="27" t="s">
        <v>42</v>
      </c>
      <c r="G401" s="27" t="s">
        <v>63</v>
      </c>
      <c r="H401" s="68"/>
      <c r="I401" s="68" t="s">
        <v>151</v>
      </c>
      <c r="J401" s="37">
        <f>IF(Table1214[[#This Row],[modality]]=D400,1,0)</f>
        <v>0</v>
      </c>
      <c r="K401" s="68">
        <f>IF(Table1214[[#This Row],[stimulus]]=G403, 1, 0)</f>
        <v>0</v>
      </c>
      <c r="L401" s="68">
        <f t="shared" si="36"/>
        <v>0</v>
      </c>
      <c r="M401" s="68">
        <f t="shared" si="37"/>
        <v>1</v>
      </c>
    </row>
    <row r="402" spans="1:13" x14ac:dyDescent="0.3">
      <c r="A402" s="4">
        <v>4</v>
      </c>
      <c r="B402" s="2">
        <v>401</v>
      </c>
      <c r="C402" s="76">
        <v>2</v>
      </c>
      <c r="D402" s="76" t="s">
        <v>80</v>
      </c>
      <c r="E402" s="76" t="s">
        <v>29</v>
      </c>
      <c r="F402" s="75" t="s">
        <v>42</v>
      </c>
      <c r="G402" s="75" t="s">
        <v>66</v>
      </c>
      <c r="H402" s="68"/>
      <c r="I402" s="68" t="s">
        <v>151</v>
      </c>
      <c r="J402" s="37">
        <f>IF(Table1214[[#This Row],[modality]]=D401,1,0)</f>
        <v>1</v>
      </c>
      <c r="K402" s="68">
        <f>IF(Table1214[[#This Row],[stimulus]]=G403, 1, 0)</f>
        <v>0</v>
      </c>
      <c r="L402" s="68">
        <f>IF(E401="T",1,0)</f>
        <v>0</v>
      </c>
      <c r="M402" s="68">
        <f>IF(E401="F",1,0)</f>
        <v>1</v>
      </c>
    </row>
    <row r="403" spans="1:13" x14ac:dyDescent="0.3">
      <c r="A403" s="4">
        <v>4</v>
      </c>
      <c r="B403" s="2">
        <v>402</v>
      </c>
      <c r="C403" s="43">
        <v>1</v>
      </c>
      <c r="D403" s="43" t="s">
        <v>81</v>
      </c>
      <c r="E403" s="43" t="s">
        <v>0</v>
      </c>
      <c r="F403" s="4" t="s">
        <v>41</v>
      </c>
      <c r="G403" s="4" t="s">
        <v>69</v>
      </c>
      <c r="H403" s="68"/>
      <c r="I403" s="68" t="s">
        <v>151</v>
      </c>
      <c r="J403" s="37">
        <f>IF(Table1214[[#This Row],[modality]]=D401,1,0)</f>
        <v>0</v>
      </c>
      <c r="K403" s="68">
        <f>IF(Table1214[[#This Row],[stimulus]]=G404, 1, 0)</f>
        <v>1</v>
      </c>
      <c r="L403" s="68">
        <f>IF(E401="T",1,0)</f>
        <v>0</v>
      </c>
      <c r="M403" s="68">
        <f>IF(E401="F",1,0)</f>
        <v>1</v>
      </c>
    </row>
    <row r="404" spans="1:13" x14ac:dyDescent="0.3">
      <c r="A404" s="4">
        <v>4</v>
      </c>
      <c r="B404" s="2">
        <v>403</v>
      </c>
      <c r="C404" s="42">
        <v>1</v>
      </c>
      <c r="D404" s="42" t="s">
        <v>81</v>
      </c>
      <c r="E404" s="42" t="s">
        <v>40</v>
      </c>
      <c r="F404" s="15" t="s">
        <v>9</v>
      </c>
      <c r="G404" s="15" t="s">
        <v>69</v>
      </c>
      <c r="H404" s="68"/>
      <c r="I404" s="68" t="s">
        <v>150</v>
      </c>
      <c r="J404" s="37">
        <f>IF(Table1214[[#This Row],[modality]]=D403,1,0)</f>
        <v>1</v>
      </c>
      <c r="K404" s="68">
        <f>IF(Table1214[[#This Row],[stimulus]]=G405, 1, 0)</f>
        <v>0</v>
      </c>
      <c r="L404" s="68">
        <f t="shared" si="36"/>
        <v>0</v>
      </c>
      <c r="M404" s="68">
        <f t="shared" si="37"/>
        <v>0</v>
      </c>
    </row>
    <row r="405" spans="1:13" x14ac:dyDescent="0.3">
      <c r="A405" s="4">
        <v>4</v>
      </c>
      <c r="B405" s="2">
        <v>404</v>
      </c>
      <c r="C405" s="43">
        <v>1</v>
      </c>
      <c r="D405" s="43" t="s">
        <v>81</v>
      </c>
      <c r="E405" s="43" t="s">
        <v>0</v>
      </c>
      <c r="F405" s="4" t="s">
        <v>41</v>
      </c>
      <c r="G405" s="4" t="s">
        <v>72</v>
      </c>
      <c r="H405" s="68"/>
      <c r="I405" s="68" t="s">
        <v>151</v>
      </c>
      <c r="J405" s="37">
        <f>IF(Table1214[[#This Row],[modality]]=D404,1,0)</f>
        <v>1</v>
      </c>
      <c r="K405" s="68">
        <f>IF(Table1214[[#This Row],[stimulus]]=G406, 1, 0)</f>
        <v>1</v>
      </c>
      <c r="L405" s="68">
        <f t="shared" si="36"/>
        <v>1</v>
      </c>
      <c r="M405" s="68">
        <f t="shared" si="37"/>
        <v>0</v>
      </c>
    </row>
    <row r="406" spans="1:13" x14ac:dyDescent="0.3">
      <c r="A406" s="4">
        <v>4</v>
      </c>
      <c r="B406" s="2">
        <v>405</v>
      </c>
      <c r="C406" s="42">
        <v>2</v>
      </c>
      <c r="D406" s="42" t="s">
        <v>80</v>
      </c>
      <c r="E406" s="42" t="s">
        <v>40</v>
      </c>
      <c r="F406" s="15" t="s">
        <v>10</v>
      </c>
      <c r="G406" s="15" t="s">
        <v>72</v>
      </c>
      <c r="H406" s="68"/>
      <c r="I406" s="68" t="s">
        <v>150</v>
      </c>
      <c r="J406" s="37">
        <f>IF(Table1214[[#This Row],[modality]]=D405,1,0)</f>
        <v>0</v>
      </c>
      <c r="K406" s="68">
        <f>IF(Table1214[[#This Row],[stimulus]]=G407, 1, 0)</f>
        <v>0</v>
      </c>
      <c r="L406" s="68">
        <f t="shared" si="36"/>
        <v>0</v>
      </c>
      <c r="M406" s="68">
        <f t="shared" si="37"/>
        <v>0</v>
      </c>
    </row>
    <row r="407" spans="1:13" x14ac:dyDescent="0.3">
      <c r="A407" s="4">
        <v>4</v>
      </c>
      <c r="B407" s="2">
        <v>406</v>
      </c>
      <c r="C407" s="41">
        <v>1</v>
      </c>
      <c r="D407" s="41" t="s">
        <v>81</v>
      </c>
      <c r="E407" s="41" t="s">
        <v>29</v>
      </c>
      <c r="F407" s="4" t="s">
        <v>42</v>
      </c>
      <c r="G407" s="4" t="s">
        <v>65</v>
      </c>
      <c r="H407" s="68"/>
      <c r="I407" s="68"/>
      <c r="J407" s="37">
        <f>IF(Table1214[[#This Row],[modality]]=D406,1,0)</f>
        <v>0</v>
      </c>
      <c r="K407" s="68">
        <f>IF(Table1214[[#This Row],[stimulus]]=G408, 1, 0)</f>
        <v>0</v>
      </c>
      <c r="L407" s="68">
        <f t="shared" si="36"/>
        <v>1</v>
      </c>
      <c r="M407" s="68">
        <f t="shared" si="37"/>
        <v>0</v>
      </c>
    </row>
    <row r="408" spans="1:13" x14ac:dyDescent="0.3">
      <c r="A408" s="4">
        <v>4</v>
      </c>
      <c r="B408" s="2">
        <v>407</v>
      </c>
      <c r="C408" s="42">
        <v>2</v>
      </c>
      <c r="D408" s="42" t="s">
        <v>80</v>
      </c>
      <c r="E408" s="42" t="s">
        <v>0</v>
      </c>
      <c r="F408" s="15" t="s">
        <v>41</v>
      </c>
      <c r="G408" s="15" t="s">
        <v>70</v>
      </c>
      <c r="H408" s="68"/>
      <c r="I408" s="68" t="s">
        <v>151</v>
      </c>
      <c r="J408" s="37">
        <f>IF(Table1214[[#This Row],[modality]]=D407,1,0)</f>
        <v>0</v>
      </c>
      <c r="K408" s="68">
        <f>IF(Table1214[[#This Row],[stimulus]]=G409, 1, 0)</f>
        <v>1</v>
      </c>
      <c r="L408" s="68">
        <f t="shared" si="36"/>
        <v>0</v>
      </c>
      <c r="M408" s="68">
        <f t="shared" si="37"/>
        <v>1</v>
      </c>
    </row>
    <row r="409" spans="1:13" x14ac:dyDescent="0.3">
      <c r="A409" s="4">
        <v>4</v>
      </c>
      <c r="B409" s="2">
        <v>408</v>
      </c>
      <c r="C409" s="43">
        <v>2</v>
      </c>
      <c r="D409" s="43" t="s">
        <v>80</v>
      </c>
      <c r="E409" s="43" t="s">
        <v>40</v>
      </c>
      <c r="F409" s="4" t="s">
        <v>9</v>
      </c>
      <c r="G409" s="4" t="s">
        <v>70</v>
      </c>
      <c r="H409" s="68"/>
      <c r="I409" s="68" t="s">
        <v>150</v>
      </c>
      <c r="J409" s="37">
        <f>IF(Table1214[[#This Row],[modality]]=D408,1,0)</f>
        <v>1</v>
      </c>
      <c r="K409" s="68">
        <f>IF(Table1214[[#This Row],[stimulus]]=G410, 1, 0)</f>
        <v>0</v>
      </c>
      <c r="L409" s="68">
        <f t="shared" si="36"/>
        <v>0</v>
      </c>
      <c r="M409" s="68">
        <f t="shared" si="37"/>
        <v>0</v>
      </c>
    </row>
    <row r="410" spans="1:13" x14ac:dyDescent="0.3">
      <c r="A410" s="4">
        <v>4</v>
      </c>
      <c r="B410" s="2">
        <v>409</v>
      </c>
      <c r="C410" s="42">
        <v>2</v>
      </c>
      <c r="D410" s="42" t="s">
        <v>80</v>
      </c>
      <c r="E410" s="42" t="s">
        <v>0</v>
      </c>
      <c r="F410" s="15" t="s">
        <v>41</v>
      </c>
      <c r="G410" s="15" t="s">
        <v>74</v>
      </c>
      <c r="H410" s="68"/>
      <c r="I410" s="68" t="s">
        <v>151</v>
      </c>
      <c r="J410" s="37">
        <f>IF(Table1214[[#This Row],[modality]]=D409,1,0)</f>
        <v>1</v>
      </c>
      <c r="K410" s="68">
        <f>IF(Table1214[[#This Row],[stimulus]]=G411, 1, 0)</f>
        <v>1</v>
      </c>
      <c r="L410" s="68">
        <f t="shared" si="36"/>
        <v>1</v>
      </c>
      <c r="M410" s="68">
        <f t="shared" si="37"/>
        <v>0</v>
      </c>
    </row>
    <row r="411" spans="1:13" x14ac:dyDescent="0.3">
      <c r="A411" s="4">
        <v>4</v>
      </c>
      <c r="B411" s="2">
        <v>410</v>
      </c>
      <c r="C411" s="43">
        <v>1</v>
      </c>
      <c r="D411" s="43" t="s">
        <v>81</v>
      </c>
      <c r="E411" s="43" t="s">
        <v>40</v>
      </c>
      <c r="F411" s="4" t="s">
        <v>10</v>
      </c>
      <c r="G411" s="4" t="s">
        <v>74</v>
      </c>
      <c r="H411" s="68"/>
      <c r="I411" s="68" t="s">
        <v>150</v>
      </c>
      <c r="J411" s="37">
        <f>IF(Table1214[[#This Row],[modality]]=D410,1,0)</f>
        <v>0</v>
      </c>
      <c r="K411" s="68">
        <f>IF(Table1214[[#This Row],[stimulus]]=G412, 1, 0)</f>
        <v>0</v>
      </c>
      <c r="L411" s="68">
        <f t="shared" ref="L411:L426" si="38">IF(E410="T",1,0)</f>
        <v>0</v>
      </c>
      <c r="M411" s="68">
        <f t="shared" ref="M411:M426" si="39">IF(E410="F",1,0)</f>
        <v>0</v>
      </c>
    </row>
    <row r="412" spans="1:13" x14ac:dyDescent="0.3">
      <c r="A412" s="4">
        <v>4</v>
      </c>
      <c r="B412" s="2">
        <v>411</v>
      </c>
      <c r="C412" s="41">
        <v>2</v>
      </c>
      <c r="D412" s="41" t="s">
        <v>80</v>
      </c>
      <c r="E412" s="41" t="s">
        <v>29</v>
      </c>
      <c r="F412" s="15" t="s">
        <v>42</v>
      </c>
      <c r="G412" s="15" t="s">
        <v>61</v>
      </c>
      <c r="H412" s="68"/>
      <c r="I412" s="68"/>
      <c r="J412" s="37">
        <f>IF(Table1214[[#This Row],[modality]]=D411,1,0)</f>
        <v>0</v>
      </c>
      <c r="K412" s="68">
        <f>IF(Table1214[[#This Row],[stimulus]]=G413, 1, 0)</f>
        <v>0</v>
      </c>
      <c r="L412" s="68">
        <f t="shared" si="38"/>
        <v>1</v>
      </c>
      <c r="M412" s="68">
        <f t="shared" si="39"/>
        <v>0</v>
      </c>
    </row>
    <row r="413" spans="1:13" x14ac:dyDescent="0.3">
      <c r="A413" s="4">
        <v>4</v>
      </c>
      <c r="B413" s="2">
        <v>412</v>
      </c>
      <c r="C413" s="43">
        <v>1</v>
      </c>
      <c r="D413" s="43" t="s">
        <v>81</v>
      </c>
      <c r="E413" s="43" t="s">
        <v>0</v>
      </c>
      <c r="F413" s="4" t="s">
        <v>41</v>
      </c>
      <c r="G413" s="4" t="s">
        <v>71</v>
      </c>
      <c r="H413" s="68"/>
      <c r="I413" s="68" t="s">
        <v>151</v>
      </c>
      <c r="J413" s="37">
        <f>IF(Table1214[[#This Row],[modality]]=D412,1,0)</f>
        <v>0</v>
      </c>
      <c r="K413" s="68">
        <f>IF(Table1214[[#This Row],[stimulus]]=G414, 1, 0)</f>
        <v>1</v>
      </c>
      <c r="L413" s="68">
        <f t="shared" si="38"/>
        <v>0</v>
      </c>
      <c r="M413" s="68">
        <f t="shared" si="39"/>
        <v>1</v>
      </c>
    </row>
    <row r="414" spans="1:13" x14ac:dyDescent="0.3">
      <c r="A414" s="4">
        <v>4</v>
      </c>
      <c r="B414" s="2">
        <v>413</v>
      </c>
      <c r="C414" s="42">
        <v>2</v>
      </c>
      <c r="D414" s="42" t="s">
        <v>80</v>
      </c>
      <c r="E414" s="42" t="s">
        <v>40</v>
      </c>
      <c r="F414" s="15" t="s">
        <v>10</v>
      </c>
      <c r="G414" s="15" t="s">
        <v>71</v>
      </c>
      <c r="H414" s="68"/>
      <c r="I414" s="68" t="s">
        <v>150</v>
      </c>
      <c r="J414" s="37">
        <f>IF(Table1214[[#This Row],[modality]]=D413,1,0)</f>
        <v>0</v>
      </c>
      <c r="K414" s="68">
        <f>IF(Table1214[[#This Row],[stimulus]]=G415, 1, 0)</f>
        <v>0</v>
      </c>
      <c r="L414" s="68">
        <f t="shared" si="38"/>
        <v>0</v>
      </c>
      <c r="M414" s="68">
        <f t="shared" si="39"/>
        <v>0</v>
      </c>
    </row>
    <row r="415" spans="1:13" x14ac:dyDescent="0.3">
      <c r="A415" s="79">
        <v>4</v>
      </c>
      <c r="B415" s="2">
        <v>414</v>
      </c>
      <c r="C415" s="56">
        <v>1</v>
      </c>
      <c r="D415" s="56" t="s">
        <v>81</v>
      </c>
      <c r="E415" s="56" t="s">
        <v>29</v>
      </c>
      <c r="F415" s="54" t="s">
        <v>42</v>
      </c>
      <c r="G415" s="54"/>
      <c r="H415" s="78" t="s">
        <v>127</v>
      </c>
      <c r="I415" s="68"/>
      <c r="J415" s="37">
        <f>IF(Table1214[[#This Row],[modality]]=D414,1,0)</f>
        <v>0</v>
      </c>
      <c r="K415" s="68">
        <f>IF(Table1214[[#This Row],[stimulus]]=G416, 1, 0)</f>
        <v>0</v>
      </c>
      <c r="L415" s="68">
        <f t="shared" si="38"/>
        <v>1</v>
      </c>
      <c r="M415" s="68">
        <f t="shared" si="39"/>
        <v>0</v>
      </c>
    </row>
    <row r="416" spans="1:13" x14ac:dyDescent="0.3">
      <c r="A416" s="4">
        <v>4</v>
      </c>
      <c r="B416" s="2">
        <v>415</v>
      </c>
      <c r="C416" s="41">
        <v>2</v>
      </c>
      <c r="D416" s="41" t="s">
        <v>80</v>
      </c>
      <c r="E416" s="41" t="s">
        <v>29</v>
      </c>
      <c r="F416" s="15" t="s">
        <v>42</v>
      </c>
      <c r="G416" s="15" t="s">
        <v>60</v>
      </c>
      <c r="H416" s="68"/>
      <c r="I416" s="68" t="s">
        <v>151</v>
      </c>
      <c r="J416" s="37">
        <f>IF(Table1214[[#This Row],[modality]]=D415,1,0)</f>
        <v>0</v>
      </c>
      <c r="K416" s="68">
        <f>IF(Table1214[[#This Row],[stimulus]]=G417, 1, 0)</f>
        <v>0</v>
      </c>
      <c r="L416" s="68">
        <f t="shared" si="38"/>
        <v>0</v>
      </c>
      <c r="M416" s="68">
        <f t="shared" si="39"/>
        <v>1</v>
      </c>
    </row>
    <row r="417" spans="1:13" x14ac:dyDescent="0.3">
      <c r="A417" s="4">
        <v>4</v>
      </c>
      <c r="B417" s="2">
        <v>416</v>
      </c>
      <c r="C417" s="43">
        <v>2</v>
      </c>
      <c r="D417" s="43" t="s">
        <v>80</v>
      </c>
      <c r="E417" s="43" t="s">
        <v>0</v>
      </c>
      <c r="F417" s="4" t="s">
        <v>41</v>
      </c>
      <c r="G417" s="4" t="s">
        <v>68</v>
      </c>
      <c r="H417" s="68"/>
      <c r="I417" s="68" t="s">
        <v>151</v>
      </c>
      <c r="J417" s="37">
        <f>IF(Table1214[[#This Row],[modality]]=D416,1,0)</f>
        <v>1</v>
      </c>
      <c r="K417" s="68">
        <f>IF(Table1214[[#This Row],[stimulus]]=G418, 1, 0)</f>
        <v>1</v>
      </c>
      <c r="L417" s="68">
        <f t="shared" si="38"/>
        <v>0</v>
      </c>
      <c r="M417" s="68">
        <f t="shared" si="39"/>
        <v>1</v>
      </c>
    </row>
    <row r="418" spans="1:13" x14ac:dyDescent="0.3">
      <c r="A418" s="4">
        <v>4</v>
      </c>
      <c r="B418" s="2">
        <v>417</v>
      </c>
      <c r="C418" s="42">
        <v>2</v>
      </c>
      <c r="D418" s="42" t="s">
        <v>80</v>
      </c>
      <c r="E418" s="42" t="s">
        <v>40</v>
      </c>
      <c r="F418" s="15" t="s">
        <v>9</v>
      </c>
      <c r="G418" s="15" t="s">
        <v>68</v>
      </c>
      <c r="H418" s="68"/>
      <c r="I418" s="68" t="s">
        <v>150</v>
      </c>
      <c r="J418" s="37">
        <f>IF(Table1214[[#This Row],[modality]]=D417,1,0)</f>
        <v>1</v>
      </c>
      <c r="K418" s="68">
        <f>IF(Table1214[[#This Row],[stimulus]]=G419, 1, 0)</f>
        <v>0</v>
      </c>
      <c r="L418" s="68">
        <f t="shared" si="38"/>
        <v>0</v>
      </c>
      <c r="M418" s="68">
        <f t="shared" si="39"/>
        <v>0</v>
      </c>
    </row>
    <row r="419" spans="1:13" x14ac:dyDescent="0.3">
      <c r="A419" s="4">
        <v>4</v>
      </c>
      <c r="B419" s="2">
        <v>418</v>
      </c>
      <c r="C419" s="41">
        <v>1</v>
      </c>
      <c r="D419" s="41" t="s">
        <v>81</v>
      </c>
      <c r="E419" s="41" t="s">
        <v>29</v>
      </c>
      <c r="F419" s="4" t="s">
        <v>42</v>
      </c>
      <c r="G419" s="4" t="s">
        <v>66</v>
      </c>
      <c r="H419" s="68"/>
      <c r="I419" s="68"/>
      <c r="J419" s="37">
        <f>IF(Table1214[[#This Row],[modality]]=D418,1,0)</f>
        <v>0</v>
      </c>
      <c r="K419" s="68">
        <f>IF(Table1214[[#This Row],[stimulus]]=G420, 1, 0)</f>
        <v>0</v>
      </c>
      <c r="L419" s="68">
        <f t="shared" si="38"/>
        <v>1</v>
      </c>
      <c r="M419" s="68">
        <f t="shared" si="39"/>
        <v>0</v>
      </c>
    </row>
    <row r="420" spans="1:13" x14ac:dyDescent="0.3">
      <c r="A420" s="4">
        <v>4</v>
      </c>
      <c r="B420" s="2">
        <v>419</v>
      </c>
      <c r="C420" s="41">
        <v>2</v>
      </c>
      <c r="D420" s="41" t="s">
        <v>80</v>
      </c>
      <c r="E420" s="41" t="s">
        <v>29</v>
      </c>
      <c r="F420" s="27" t="s">
        <v>42</v>
      </c>
      <c r="G420" s="27" t="s">
        <v>64</v>
      </c>
      <c r="H420" s="68"/>
      <c r="I420" s="68" t="s">
        <v>151</v>
      </c>
      <c r="J420" s="37">
        <f>IF(Table1214[[#This Row],[modality]]=D419,1,0)</f>
        <v>0</v>
      </c>
      <c r="K420" s="68">
        <f>IF(Table1214[[#This Row],[stimulus]]=G421, 1, 0)</f>
        <v>0</v>
      </c>
      <c r="L420" s="68">
        <f t="shared" si="38"/>
        <v>0</v>
      </c>
      <c r="M420" s="68">
        <f t="shared" si="39"/>
        <v>1</v>
      </c>
    </row>
    <row r="421" spans="1:13" x14ac:dyDescent="0.3">
      <c r="A421" s="4">
        <v>4</v>
      </c>
      <c r="B421" s="2">
        <v>420</v>
      </c>
      <c r="C421" s="43">
        <v>2</v>
      </c>
      <c r="D421" s="43" t="s">
        <v>80</v>
      </c>
      <c r="E421" s="43" t="s">
        <v>0</v>
      </c>
      <c r="F421" s="4" t="s">
        <v>41</v>
      </c>
      <c r="G421" s="4" t="s">
        <v>67</v>
      </c>
      <c r="H421" s="68"/>
      <c r="I421" s="68" t="s">
        <v>151</v>
      </c>
      <c r="J421" s="37">
        <f>IF(Table1214[[#This Row],[modality]]=D420,1,0)</f>
        <v>1</v>
      </c>
      <c r="K421" s="68">
        <f>IF(Table1214[[#This Row],[stimulus]]=G422, 1, 0)</f>
        <v>1</v>
      </c>
      <c r="L421" s="68">
        <f t="shared" si="38"/>
        <v>0</v>
      </c>
      <c r="M421" s="68">
        <f t="shared" si="39"/>
        <v>1</v>
      </c>
    </row>
    <row r="422" spans="1:13" x14ac:dyDescent="0.3">
      <c r="A422" s="4">
        <v>4</v>
      </c>
      <c r="B422" s="2">
        <v>421</v>
      </c>
      <c r="C422" s="42">
        <v>1</v>
      </c>
      <c r="D422" s="42" t="s">
        <v>81</v>
      </c>
      <c r="E422" s="42" t="s">
        <v>40</v>
      </c>
      <c r="F422" s="15" t="s">
        <v>10</v>
      </c>
      <c r="G422" s="15" t="s">
        <v>67</v>
      </c>
      <c r="H422" s="68"/>
      <c r="I422" s="68" t="s">
        <v>150</v>
      </c>
      <c r="J422" s="37">
        <f>IF(Table1214[[#This Row],[modality]]=D421,1,0)</f>
        <v>0</v>
      </c>
      <c r="K422" s="68">
        <f>IF(Table1214[[#This Row],[stimulus]]=G423, 1, 0)</f>
        <v>0</v>
      </c>
      <c r="L422" s="68">
        <f t="shared" si="38"/>
        <v>0</v>
      </c>
      <c r="M422" s="68">
        <f t="shared" si="39"/>
        <v>0</v>
      </c>
    </row>
    <row r="423" spans="1:13" x14ac:dyDescent="0.3">
      <c r="A423" s="79">
        <v>4</v>
      </c>
      <c r="B423" s="2">
        <v>422</v>
      </c>
      <c r="C423" s="56">
        <v>2</v>
      </c>
      <c r="D423" s="56" t="s">
        <v>80</v>
      </c>
      <c r="E423" s="56" t="s">
        <v>29</v>
      </c>
      <c r="F423" s="54" t="s">
        <v>42</v>
      </c>
      <c r="G423" s="54"/>
      <c r="H423" s="78" t="s">
        <v>127</v>
      </c>
      <c r="I423" s="68"/>
      <c r="J423" s="37">
        <f>IF(Table1214[[#This Row],[modality]]=D422,1,0)</f>
        <v>0</v>
      </c>
      <c r="K423" s="68">
        <f>IF(Table1214[[#This Row],[stimulus]]=G424, 1, 0)</f>
        <v>0</v>
      </c>
      <c r="L423" s="68">
        <f t="shared" si="38"/>
        <v>1</v>
      </c>
      <c r="M423" s="68">
        <f t="shared" si="39"/>
        <v>0</v>
      </c>
    </row>
    <row r="424" spans="1:13" x14ac:dyDescent="0.3">
      <c r="A424" s="4">
        <v>4</v>
      </c>
      <c r="B424" s="2">
        <v>423</v>
      </c>
      <c r="C424" s="41">
        <v>1</v>
      </c>
      <c r="D424" s="41" t="s">
        <v>81</v>
      </c>
      <c r="E424" s="41" t="s">
        <v>29</v>
      </c>
      <c r="F424" s="15" t="s">
        <v>42</v>
      </c>
      <c r="G424" s="15" t="s">
        <v>62</v>
      </c>
      <c r="H424" s="68"/>
      <c r="I424" s="68"/>
      <c r="J424" s="37">
        <f>IF(Table1214[[#This Row],[modality]]=D423,1,0)</f>
        <v>0</v>
      </c>
      <c r="K424" s="68">
        <f>IF(Table1214[[#This Row],[stimulus]]=G425, 1, 0)</f>
        <v>0</v>
      </c>
      <c r="L424" s="68">
        <f t="shared" si="38"/>
        <v>0</v>
      </c>
      <c r="M424" s="68">
        <f t="shared" si="39"/>
        <v>1</v>
      </c>
    </row>
    <row r="425" spans="1:13" x14ac:dyDescent="0.3">
      <c r="A425" s="4">
        <v>4</v>
      </c>
      <c r="B425" s="2">
        <v>424</v>
      </c>
      <c r="C425" s="43">
        <v>1</v>
      </c>
      <c r="D425" s="43" t="s">
        <v>81</v>
      </c>
      <c r="E425" s="43" t="s">
        <v>0</v>
      </c>
      <c r="F425" s="4" t="s">
        <v>41</v>
      </c>
      <c r="G425" s="4" t="s">
        <v>73</v>
      </c>
      <c r="H425" s="68"/>
      <c r="I425" s="68" t="s">
        <v>151</v>
      </c>
      <c r="J425" s="37">
        <f>IF(Table1214[[#This Row],[modality]]=D424,1,0)</f>
        <v>1</v>
      </c>
      <c r="K425" s="68">
        <f>IF(Table1214[[#This Row],[stimulus]]=G426, 1, 0)</f>
        <v>1</v>
      </c>
      <c r="L425" s="68">
        <f t="shared" si="38"/>
        <v>0</v>
      </c>
      <c r="M425" s="68">
        <f t="shared" si="39"/>
        <v>1</v>
      </c>
    </row>
    <row r="426" spans="1:13" x14ac:dyDescent="0.3">
      <c r="A426" s="4">
        <v>4</v>
      </c>
      <c r="B426" s="2">
        <v>425</v>
      </c>
      <c r="C426" s="42">
        <v>1</v>
      </c>
      <c r="D426" s="42" t="s">
        <v>81</v>
      </c>
      <c r="E426" s="42" t="s">
        <v>40</v>
      </c>
      <c r="F426" s="15" t="s">
        <v>9</v>
      </c>
      <c r="G426" s="15" t="s">
        <v>73</v>
      </c>
      <c r="H426" s="68"/>
      <c r="I426" s="68" t="s">
        <v>150</v>
      </c>
      <c r="J426" s="37">
        <f>IF(Table1214[[#This Row],[modality]]=D425,1,0)</f>
        <v>1</v>
      </c>
      <c r="K426" s="68">
        <f>IF(Table1214[[#This Row],[stimulus]]=G427, 1, 0)</f>
        <v>0</v>
      </c>
      <c r="L426" s="68">
        <f t="shared" si="38"/>
        <v>0</v>
      </c>
      <c r="M426" s="68">
        <f t="shared" si="39"/>
        <v>0</v>
      </c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991C-9F98-43DB-ACB6-50CAB8EEE401}">
  <dimension ref="A1:AI46"/>
  <sheetViews>
    <sheetView topLeftCell="A25" workbookViewId="0">
      <selection activeCell="G42" sqref="G42"/>
    </sheetView>
  </sheetViews>
  <sheetFormatPr defaultRowHeight="14.4" x14ac:dyDescent="0.3"/>
  <cols>
    <col min="1" max="1" width="15.88671875" bestFit="1" customWidth="1"/>
    <col min="2" max="2" width="15.5546875" bestFit="1" customWidth="1"/>
    <col min="3" max="33" width="10.44140625" bestFit="1" customWidth="1"/>
    <col min="34" max="34" width="7" bestFit="1" customWidth="1"/>
    <col min="35" max="35" width="10.77734375" bestFit="1" customWidth="1"/>
  </cols>
  <sheetData>
    <row r="1" spans="1:7" x14ac:dyDescent="0.3">
      <c r="A1" s="70" t="s">
        <v>143</v>
      </c>
      <c r="B1" t="s">
        <v>145</v>
      </c>
    </row>
    <row r="2" spans="1:7" x14ac:dyDescent="0.3">
      <c r="A2" s="71" t="s">
        <v>142</v>
      </c>
      <c r="B2" s="92">
        <v>3</v>
      </c>
    </row>
    <row r="3" spans="1:7" x14ac:dyDescent="0.3">
      <c r="A3" s="71" t="s">
        <v>80</v>
      </c>
      <c r="B3" s="92">
        <v>208</v>
      </c>
    </row>
    <row r="4" spans="1:7" x14ac:dyDescent="0.3">
      <c r="A4" s="71" t="s">
        <v>81</v>
      </c>
      <c r="B4" s="92">
        <v>214</v>
      </c>
    </row>
    <row r="5" spans="1:7" x14ac:dyDescent="0.3">
      <c r="A5" s="71" t="s">
        <v>144</v>
      </c>
      <c r="B5" s="92">
        <v>425</v>
      </c>
    </row>
    <row r="8" spans="1:7" x14ac:dyDescent="0.3">
      <c r="A8" s="70" t="s">
        <v>139</v>
      </c>
      <c r="B8" s="71">
        <v>0</v>
      </c>
    </row>
    <row r="10" spans="1:7" x14ac:dyDescent="0.3">
      <c r="A10" s="70" t="s">
        <v>146</v>
      </c>
      <c r="B10" s="70" t="s">
        <v>147</v>
      </c>
    </row>
    <row r="11" spans="1:7" x14ac:dyDescent="0.3">
      <c r="B11">
        <v>0</v>
      </c>
      <c r="D11" t="s">
        <v>148</v>
      </c>
      <c r="E11">
        <v>1</v>
      </c>
      <c r="F11" t="s">
        <v>149</v>
      </c>
      <c r="G11" t="s">
        <v>144</v>
      </c>
    </row>
    <row r="12" spans="1:7" x14ac:dyDescent="0.3">
      <c r="A12" s="70" t="s">
        <v>143</v>
      </c>
      <c r="B12">
        <v>0</v>
      </c>
      <c r="C12">
        <v>1</v>
      </c>
      <c r="E12">
        <v>1</v>
      </c>
    </row>
    <row r="13" spans="1:7" x14ac:dyDescent="0.3">
      <c r="A13" s="71" t="s">
        <v>29</v>
      </c>
      <c r="B13">
        <v>3</v>
      </c>
      <c r="C13">
        <v>37</v>
      </c>
      <c r="D13">
        <v>40</v>
      </c>
      <c r="E13">
        <v>27</v>
      </c>
      <c r="F13">
        <v>27</v>
      </c>
      <c r="G13">
        <v>67</v>
      </c>
    </row>
    <row r="14" spans="1:7" x14ac:dyDescent="0.3">
      <c r="A14" s="72" t="s">
        <v>80</v>
      </c>
      <c r="B14">
        <v>3</v>
      </c>
      <c r="C14">
        <v>19</v>
      </c>
      <c r="D14">
        <v>22</v>
      </c>
      <c r="E14">
        <v>12</v>
      </c>
      <c r="F14">
        <v>12</v>
      </c>
      <c r="G14">
        <v>34</v>
      </c>
    </row>
    <row r="15" spans="1:7" x14ac:dyDescent="0.3">
      <c r="A15" s="72" t="s">
        <v>81</v>
      </c>
      <c r="C15">
        <v>18</v>
      </c>
      <c r="D15">
        <v>18</v>
      </c>
      <c r="E15">
        <v>15</v>
      </c>
      <c r="F15">
        <v>15</v>
      </c>
      <c r="G15">
        <v>33</v>
      </c>
    </row>
    <row r="16" spans="1:7" x14ac:dyDescent="0.3">
      <c r="A16" s="71" t="s">
        <v>0</v>
      </c>
      <c r="B16">
        <v>1</v>
      </c>
      <c r="C16">
        <v>49</v>
      </c>
      <c r="D16">
        <v>50</v>
      </c>
      <c r="E16">
        <v>50</v>
      </c>
      <c r="F16">
        <v>50</v>
      </c>
      <c r="G16">
        <v>100</v>
      </c>
    </row>
    <row r="17" spans="1:8" x14ac:dyDescent="0.3">
      <c r="A17" s="72" t="s">
        <v>80</v>
      </c>
      <c r="B17">
        <v>1</v>
      </c>
      <c r="C17">
        <v>24</v>
      </c>
      <c r="D17">
        <v>25</v>
      </c>
      <c r="E17">
        <v>25</v>
      </c>
      <c r="F17">
        <v>25</v>
      </c>
      <c r="G17">
        <v>50</v>
      </c>
    </row>
    <row r="18" spans="1:8" x14ac:dyDescent="0.3">
      <c r="A18" s="72" t="s">
        <v>81</v>
      </c>
      <c r="C18">
        <v>25</v>
      </c>
      <c r="D18">
        <v>25</v>
      </c>
      <c r="E18">
        <v>25</v>
      </c>
      <c r="F18">
        <v>25</v>
      </c>
      <c r="G18">
        <v>50</v>
      </c>
    </row>
    <row r="19" spans="1:8" x14ac:dyDescent="0.3">
      <c r="A19" s="71" t="s">
        <v>144</v>
      </c>
      <c r="B19">
        <v>4</v>
      </c>
      <c r="C19">
        <v>86</v>
      </c>
      <c r="D19">
        <v>90</v>
      </c>
      <c r="E19">
        <v>77</v>
      </c>
      <c r="F19">
        <v>77</v>
      </c>
      <c r="G19">
        <v>167</v>
      </c>
    </row>
    <row r="23" spans="1:8" x14ac:dyDescent="0.3">
      <c r="A23" s="70" t="s">
        <v>146</v>
      </c>
      <c r="B23" s="70" t="s">
        <v>147</v>
      </c>
    </row>
    <row r="24" spans="1:8" x14ac:dyDescent="0.3">
      <c r="B24">
        <v>0</v>
      </c>
      <c r="D24" t="s">
        <v>148</v>
      </c>
      <c r="E24">
        <v>1</v>
      </c>
      <c r="G24" t="s">
        <v>149</v>
      </c>
      <c r="H24" t="s">
        <v>144</v>
      </c>
    </row>
    <row r="25" spans="1:8" x14ac:dyDescent="0.3">
      <c r="A25" s="70" t="s">
        <v>143</v>
      </c>
      <c r="B25">
        <v>0</v>
      </c>
      <c r="C25">
        <v>1</v>
      </c>
      <c r="E25">
        <v>0</v>
      </c>
      <c r="F25">
        <v>1</v>
      </c>
    </row>
    <row r="26" spans="1:8" x14ac:dyDescent="0.3">
      <c r="A26" s="71" t="s">
        <v>29</v>
      </c>
      <c r="B26">
        <v>40</v>
      </c>
      <c r="C26">
        <v>66</v>
      </c>
      <c r="D26">
        <v>106</v>
      </c>
      <c r="E26">
        <v>27</v>
      </c>
      <c r="F26">
        <v>33</v>
      </c>
      <c r="G26">
        <v>60</v>
      </c>
      <c r="H26">
        <v>166</v>
      </c>
    </row>
    <row r="27" spans="1:8" x14ac:dyDescent="0.3">
      <c r="A27" s="72" t="s">
        <v>80</v>
      </c>
      <c r="B27">
        <v>22</v>
      </c>
      <c r="C27">
        <v>31</v>
      </c>
      <c r="D27">
        <v>53</v>
      </c>
      <c r="E27">
        <v>12</v>
      </c>
      <c r="F27">
        <v>15</v>
      </c>
      <c r="G27">
        <v>27</v>
      </c>
      <c r="H27">
        <v>80</v>
      </c>
    </row>
    <row r="28" spans="1:8" x14ac:dyDescent="0.3">
      <c r="A28" s="72" t="s">
        <v>81</v>
      </c>
      <c r="B28">
        <v>18</v>
      </c>
      <c r="C28">
        <v>35</v>
      </c>
      <c r="D28">
        <v>53</v>
      </c>
      <c r="E28">
        <v>15</v>
      </c>
      <c r="F28">
        <v>18</v>
      </c>
      <c r="G28">
        <v>33</v>
      </c>
      <c r="H28">
        <v>86</v>
      </c>
    </row>
    <row r="29" spans="1:8" x14ac:dyDescent="0.3">
      <c r="A29" s="71" t="s">
        <v>0</v>
      </c>
      <c r="B29">
        <v>50</v>
      </c>
      <c r="D29">
        <v>50</v>
      </c>
      <c r="E29">
        <v>50</v>
      </c>
      <c r="F29">
        <v>28</v>
      </c>
      <c r="G29">
        <v>78</v>
      </c>
      <c r="H29">
        <v>128</v>
      </c>
    </row>
    <row r="30" spans="1:8" x14ac:dyDescent="0.3">
      <c r="A30" s="72" t="s">
        <v>80</v>
      </c>
      <c r="B30">
        <v>25</v>
      </c>
      <c r="D30">
        <v>25</v>
      </c>
      <c r="E30">
        <v>25</v>
      </c>
      <c r="F30">
        <v>14</v>
      </c>
      <c r="G30">
        <v>39</v>
      </c>
      <c r="H30">
        <v>64</v>
      </c>
    </row>
    <row r="31" spans="1:8" x14ac:dyDescent="0.3">
      <c r="A31" s="72" t="s">
        <v>81</v>
      </c>
      <c r="B31">
        <v>25</v>
      </c>
      <c r="D31">
        <v>25</v>
      </c>
      <c r="E31">
        <v>25</v>
      </c>
      <c r="F31">
        <v>14</v>
      </c>
      <c r="G31">
        <v>39</v>
      </c>
      <c r="H31">
        <v>64</v>
      </c>
    </row>
    <row r="32" spans="1:8" x14ac:dyDescent="0.3">
      <c r="A32" s="71" t="s">
        <v>144</v>
      </c>
      <c r="B32">
        <v>90</v>
      </c>
      <c r="C32">
        <v>66</v>
      </c>
      <c r="D32">
        <v>156</v>
      </c>
      <c r="E32">
        <v>77</v>
      </c>
      <c r="F32">
        <v>61</v>
      </c>
      <c r="G32">
        <v>138</v>
      </c>
      <c r="H32">
        <v>294</v>
      </c>
    </row>
    <row r="35" spans="1:35" x14ac:dyDescent="0.3">
      <c r="A35" s="70" t="s">
        <v>153</v>
      </c>
      <c r="B35" s="70" t="s">
        <v>147</v>
      </c>
    </row>
    <row r="36" spans="1:35" x14ac:dyDescent="0.3">
      <c r="A36" s="70" t="s">
        <v>143</v>
      </c>
      <c r="B36" t="s">
        <v>43</v>
      </c>
      <c r="C36" t="s">
        <v>58</v>
      </c>
      <c r="D36" t="s">
        <v>59</v>
      </c>
      <c r="E36" t="s">
        <v>74</v>
      </c>
      <c r="F36" t="s">
        <v>44</v>
      </c>
      <c r="G36" t="s">
        <v>57</v>
      </c>
      <c r="H36" t="s">
        <v>60</v>
      </c>
      <c r="I36" t="s">
        <v>73</v>
      </c>
      <c r="J36" t="s">
        <v>45</v>
      </c>
      <c r="K36" t="s">
        <v>56</v>
      </c>
      <c r="L36" t="s">
        <v>61</v>
      </c>
      <c r="M36" t="s">
        <v>72</v>
      </c>
      <c r="N36" t="s">
        <v>46</v>
      </c>
      <c r="O36" t="s">
        <v>55</v>
      </c>
      <c r="P36" t="s">
        <v>62</v>
      </c>
      <c r="Q36" t="s">
        <v>71</v>
      </c>
      <c r="R36" t="s">
        <v>47</v>
      </c>
      <c r="S36" t="s">
        <v>54</v>
      </c>
      <c r="T36" t="s">
        <v>63</v>
      </c>
      <c r="U36" t="s">
        <v>70</v>
      </c>
      <c r="V36" t="s">
        <v>48</v>
      </c>
      <c r="W36" t="s">
        <v>53</v>
      </c>
      <c r="X36" t="s">
        <v>64</v>
      </c>
      <c r="Y36" t="s">
        <v>69</v>
      </c>
      <c r="Z36" t="s">
        <v>49</v>
      </c>
      <c r="AA36" t="s">
        <v>52</v>
      </c>
      <c r="AB36" t="s">
        <v>65</v>
      </c>
      <c r="AC36" t="s">
        <v>68</v>
      </c>
      <c r="AD36" t="s">
        <v>50</v>
      </c>
      <c r="AE36" t="s">
        <v>51</v>
      </c>
      <c r="AF36" t="s">
        <v>66</v>
      </c>
      <c r="AG36" t="s">
        <v>67</v>
      </c>
      <c r="AH36" t="s">
        <v>152</v>
      </c>
      <c r="AI36" t="s">
        <v>144</v>
      </c>
    </row>
    <row r="37" spans="1:35" x14ac:dyDescent="0.3">
      <c r="A37" s="71" t="s">
        <v>29</v>
      </c>
      <c r="B37" s="92">
        <v>4</v>
      </c>
      <c r="C37" s="92">
        <v>5</v>
      </c>
      <c r="D37" s="92">
        <v>5</v>
      </c>
      <c r="E37" s="92">
        <v>4</v>
      </c>
      <c r="F37" s="92">
        <v>5</v>
      </c>
      <c r="G37" s="92">
        <v>5</v>
      </c>
      <c r="H37" s="92">
        <v>5</v>
      </c>
      <c r="I37" s="92">
        <v>5</v>
      </c>
      <c r="J37" s="92">
        <v>5</v>
      </c>
      <c r="K37" s="92">
        <v>5</v>
      </c>
      <c r="L37" s="92">
        <v>5</v>
      </c>
      <c r="M37" s="92">
        <v>5</v>
      </c>
      <c r="N37" s="92">
        <v>6</v>
      </c>
      <c r="O37" s="92">
        <v>6</v>
      </c>
      <c r="P37" s="92">
        <v>4</v>
      </c>
      <c r="Q37" s="92">
        <v>6</v>
      </c>
      <c r="R37" s="92">
        <v>5</v>
      </c>
      <c r="S37" s="92">
        <v>4</v>
      </c>
      <c r="T37" s="92">
        <v>4</v>
      </c>
      <c r="U37" s="92">
        <v>4</v>
      </c>
      <c r="V37" s="92">
        <v>5</v>
      </c>
      <c r="W37" s="92">
        <v>4</v>
      </c>
      <c r="X37" s="92">
        <v>5</v>
      </c>
      <c r="Y37" s="92">
        <v>5</v>
      </c>
      <c r="Z37" s="92">
        <v>4</v>
      </c>
      <c r="AA37" s="92">
        <v>4</v>
      </c>
      <c r="AB37" s="92">
        <v>4</v>
      </c>
      <c r="AC37" s="92">
        <v>4</v>
      </c>
      <c r="AD37" s="92">
        <v>5</v>
      </c>
      <c r="AE37" s="92">
        <v>4</v>
      </c>
      <c r="AF37" s="92">
        <v>5</v>
      </c>
      <c r="AG37" s="92">
        <v>5</v>
      </c>
      <c r="AH37" s="92"/>
      <c r="AI37" s="92">
        <v>151</v>
      </c>
    </row>
    <row r="38" spans="1:35" x14ac:dyDescent="0.3">
      <c r="A38" s="72" t="s">
        <v>80</v>
      </c>
      <c r="B38" s="92">
        <v>2</v>
      </c>
      <c r="C38" s="92">
        <v>2</v>
      </c>
      <c r="D38" s="92">
        <v>2</v>
      </c>
      <c r="E38" s="92">
        <v>2</v>
      </c>
      <c r="F38" s="92">
        <v>3</v>
      </c>
      <c r="G38" s="92">
        <v>2</v>
      </c>
      <c r="H38" s="92">
        <v>2</v>
      </c>
      <c r="I38" s="92">
        <v>3</v>
      </c>
      <c r="J38" s="92">
        <v>3</v>
      </c>
      <c r="K38" s="92">
        <v>2</v>
      </c>
      <c r="L38" s="92">
        <v>3</v>
      </c>
      <c r="M38" s="92">
        <v>2</v>
      </c>
      <c r="N38" s="92">
        <v>3</v>
      </c>
      <c r="O38" s="92">
        <v>3</v>
      </c>
      <c r="P38" s="92">
        <v>2</v>
      </c>
      <c r="Q38" s="92">
        <v>3</v>
      </c>
      <c r="R38" s="92">
        <v>2</v>
      </c>
      <c r="S38" s="92">
        <v>2</v>
      </c>
      <c r="T38" s="92">
        <v>2</v>
      </c>
      <c r="U38" s="92">
        <v>2</v>
      </c>
      <c r="V38" s="92">
        <v>2</v>
      </c>
      <c r="W38" s="92">
        <v>2</v>
      </c>
      <c r="X38" s="92">
        <v>3</v>
      </c>
      <c r="Y38" s="92">
        <v>2</v>
      </c>
      <c r="Z38" s="92">
        <v>2</v>
      </c>
      <c r="AA38" s="92">
        <v>2</v>
      </c>
      <c r="AB38" s="92">
        <v>2</v>
      </c>
      <c r="AC38" s="92">
        <v>2</v>
      </c>
      <c r="AD38" s="92">
        <v>3</v>
      </c>
      <c r="AE38" s="92">
        <v>2</v>
      </c>
      <c r="AF38" s="92">
        <v>3</v>
      </c>
      <c r="AG38" s="92">
        <v>2</v>
      </c>
      <c r="AH38" s="92"/>
      <c r="AI38" s="92">
        <v>74</v>
      </c>
    </row>
    <row r="39" spans="1:35" x14ac:dyDescent="0.3">
      <c r="A39" s="72" t="s">
        <v>81</v>
      </c>
      <c r="B39" s="92">
        <v>2</v>
      </c>
      <c r="C39" s="92">
        <v>3</v>
      </c>
      <c r="D39" s="92">
        <v>3</v>
      </c>
      <c r="E39" s="92">
        <v>2</v>
      </c>
      <c r="F39" s="92">
        <v>2</v>
      </c>
      <c r="G39" s="92">
        <v>3</v>
      </c>
      <c r="H39" s="92">
        <v>3</v>
      </c>
      <c r="I39" s="92">
        <v>2</v>
      </c>
      <c r="J39" s="92">
        <v>2</v>
      </c>
      <c r="K39" s="92">
        <v>3</v>
      </c>
      <c r="L39" s="92">
        <v>2</v>
      </c>
      <c r="M39" s="92">
        <v>3</v>
      </c>
      <c r="N39" s="92">
        <v>3</v>
      </c>
      <c r="O39" s="92">
        <v>3</v>
      </c>
      <c r="P39" s="92">
        <v>2</v>
      </c>
      <c r="Q39" s="92">
        <v>3</v>
      </c>
      <c r="R39" s="92">
        <v>3</v>
      </c>
      <c r="S39" s="92">
        <v>2</v>
      </c>
      <c r="T39" s="92">
        <v>2</v>
      </c>
      <c r="U39" s="92">
        <v>2</v>
      </c>
      <c r="V39" s="92">
        <v>3</v>
      </c>
      <c r="W39" s="92">
        <v>2</v>
      </c>
      <c r="X39" s="92">
        <v>2</v>
      </c>
      <c r="Y39" s="92">
        <v>3</v>
      </c>
      <c r="Z39" s="92">
        <v>2</v>
      </c>
      <c r="AA39" s="92">
        <v>2</v>
      </c>
      <c r="AB39" s="92">
        <v>2</v>
      </c>
      <c r="AC39" s="92">
        <v>2</v>
      </c>
      <c r="AD39" s="92">
        <v>2</v>
      </c>
      <c r="AE39" s="92">
        <v>2</v>
      </c>
      <c r="AF39" s="92">
        <v>2</v>
      </c>
      <c r="AG39" s="92">
        <v>3</v>
      </c>
      <c r="AH39" s="92"/>
      <c r="AI39" s="92">
        <v>77</v>
      </c>
    </row>
    <row r="40" spans="1:35" x14ac:dyDescent="0.3">
      <c r="A40" s="71" t="s">
        <v>0</v>
      </c>
      <c r="B40" s="92">
        <v>4</v>
      </c>
      <c r="C40" s="92">
        <v>4</v>
      </c>
      <c r="D40" s="92">
        <v>4</v>
      </c>
      <c r="E40" s="92">
        <v>4</v>
      </c>
      <c r="F40" s="92">
        <v>4</v>
      </c>
      <c r="G40" s="92">
        <v>4</v>
      </c>
      <c r="H40" s="92">
        <v>4</v>
      </c>
      <c r="I40" s="92">
        <v>4</v>
      </c>
      <c r="J40" s="92">
        <v>4</v>
      </c>
      <c r="K40" s="92">
        <v>4</v>
      </c>
      <c r="L40" s="92">
        <v>4</v>
      </c>
      <c r="M40" s="92">
        <v>4</v>
      </c>
      <c r="N40" s="92">
        <v>4</v>
      </c>
      <c r="O40" s="92">
        <v>4</v>
      </c>
      <c r="P40" s="92">
        <v>4</v>
      </c>
      <c r="Q40" s="92">
        <v>4</v>
      </c>
      <c r="R40" s="92">
        <v>4</v>
      </c>
      <c r="S40" s="92">
        <v>4</v>
      </c>
      <c r="T40" s="92">
        <v>4</v>
      </c>
      <c r="U40" s="92">
        <v>4</v>
      </c>
      <c r="V40" s="92">
        <v>4</v>
      </c>
      <c r="W40" s="92">
        <v>4</v>
      </c>
      <c r="X40" s="92">
        <v>4</v>
      </c>
      <c r="Y40" s="92">
        <v>4</v>
      </c>
      <c r="Z40" s="92">
        <v>4</v>
      </c>
      <c r="AA40" s="92">
        <v>4</v>
      </c>
      <c r="AB40" s="92">
        <v>4</v>
      </c>
      <c r="AC40" s="92">
        <v>4</v>
      </c>
      <c r="AD40" s="92">
        <v>4</v>
      </c>
      <c r="AE40" s="92">
        <v>4</v>
      </c>
      <c r="AF40" s="92">
        <v>4</v>
      </c>
      <c r="AG40" s="92">
        <v>4</v>
      </c>
      <c r="AH40" s="92"/>
      <c r="AI40" s="92">
        <v>128</v>
      </c>
    </row>
    <row r="41" spans="1:35" x14ac:dyDescent="0.3">
      <c r="A41" s="72" t="s">
        <v>80</v>
      </c>
      <c r="B41" s="92">
        <v>2</v>
      </c>
      <c r="C41" s="92">
        <v>2</v>
      </c>
      <c r="D41" s="92">
        <v>2</v>
      </c>
      <c r="E41" s="92">
        <v>2</v>
      </c>
      <c r="F41" s="92">
        <v>2</v>
      </c>
      <c r="G41" s="92">
        <v>2</v>
      </c>
      <c r="H41" s="92">
        <v>2</v>
      </c>
      <c r="I41" s="92">
        <v>2</v>
      </c>
      <c r="J41" s="92">
        <v>2</v>
      </c>
      <c r="K41" s="92">
        <v>2</v>
      </c>
      <c r="L41" s="92">
        <v>2</v>
      </c>
      <c r="M41" s="92">
        <v>2</v>
      </c>
      <c r="N41" s="92">
        <v>2</v>
      </c>
      <c r="O41" s="92">
        <v>2</v>
      </c>
      <c r="P41" s="92">
        <v>2</v>
      </c>
      <c r="Q41" s="92">
        <v>2</v>
      </c>
      <c r="R41" s="92">
        <v>2</v>
      </c>
      <c r="S41" s="92">
        <v>2</v>
      </c>
      <c r="T41" s="92">
        <v>2</v>
      </c>
      <c r="U41" s="92">
        <v>2</v>
      </c>
      <c r="V41" s="92">
        <v>2</v>
      </c>
      <c r="W41" s="92">
        <v>2</v>
      </c>
      <c r="X41" s="92">
        <v>2</v>
      </c>
      <c r="Y41" s="92">
        <v>2</v>
      </c>
      <c r="Z41" s="92">
        <v>2</v>
      </c>
      <c r="AA41" s="92">
        <v>2</v>
      </c>
      <c r="AB41" s="92">
        <v>2</v>
      </c>
      <c r="AC41" s="92">
        <v>2</v>
      </c>
      <c r="AD41" s="92">
        <v>2</v>
      </c>
      <c r="AE41" s="92">
        <v>2</v>
      </c>
      <c r="AF41" s="92">
        <v>2</v>
      </c>
      <c r="AG41" s="92">
        <v>2</v>
      </c>
      <c r="AH41" s="92"/>
      <c r="AI41" s="92">
        <v>64</v>
      </c>
    </row>
    <row r="42" spans="1:35" x14ac:dyDescent="0.3">
      <c r="A42" s="72" t="s">
        <v>81</v>
      </c>
      <c r="B42" s="92">
        <v>2</v>
      </c>
      <c r="C42" s="92">
        <v>2</v>
      </c>
      <c r="D42" s="92">
        <v>2</v>
      </c>
      <c r="E42" s="92">
        <v>2</v>
      </c>
      <c r="F42" s="92">
        <v>2</v>
      </c>
      <c r="G42" s="92">
        <v>2</v>
      </c>
      <c r="H42" s="92">
        <v>2</v>
      </c>
      <c r="I42" s="92">
        <v>2</v>
      </c>
      <c r="J42" s="92">
        <v>2</v>
      </c>
      <c r="K42" s="92">
        <v>2</v>
      </c>
      <c r="L42" s="92">
        <v>2</v>
      </c>
      <c r="M42" s="92">
        <v>2</v>
      </c>
      <c r="N42" s="92">
        <v>2</v>
      </c>
      <c r="O42" s="92">
        <v>2</v>
      </c>
      <c r="P42" s="92">
        <v>2</v>
      </c>
      <c r="Q42" s="92">
        <v>2</v>
      </c>
      <c r="R42" s="92">
        <v>2</v>
      </c>
      <c r="S42" s="92">
        <v>2</v>
      </c>
      <c r="T42" s="92">
        <v>2</v>
      </c>
      <c r="U42" s="92">
        <v>2</v>
      </c>
      <c r="V42" s="92">
        <v>2</v>
      </c>
      <c r="W42" s="92">
        <v>2</v>
      </c>
      <c r="X42" s="92">
        <v>2</v>
      </c>
      <c r="Y42" s="92">
        <v>2</v>
      </c>
      <c r="Z42" s="92">
        <v>2</v>
      </c>
      <c r="AA42" s="92">
        <v>2</v>
      </c>
      <c r="AB42" s="92">
        <v>2</v>
      </c>
      <c r="AC42" s="92">
        <v>2</v>
      </c>
      <c r="AD42" s="92">
        <v>2</v>
      </c>
      <c r="AE42" s="92">
        <v>2</v>
      </c>
      <c r="AF42" s="92">
        <v>2</v>
      </c>
      <c r="AG42" s="92">
        <v>2</v>
      </c>
      <c r="AH42" s="92"/>
      <c r="AI42" s="92">
        <v>64</v>
      </c>
    </row>
    <row r="43" spans="1:35" x14ac:dyDescent="0.3">
      <c r="A43" s="71" t="s">
        <v>40</v>
      </c>
      <c r="B43" s="92">
        <v>4</v>
      </c>
      <c r="C43" s="92">
        <v>4</v>
      </c>
      <c r="D43" s="92">
        <v>4</v>
      </c>
      <c r="E43" s="92">
        <v>4</v>
      </c>
      <c r="F43" s="92">
        <v>4</v>
      </c>
      <c r="G43" s="92">
        <v>4</v>
      </c>
      <c r="H43" s="92">
        <v>4</v>
      </c>
      <c r="I43" s="92">
        <v>4</v>
      </c>
      <c r="J43" s="92">
        <v>4</v>
      </c>
      <c r="K43" s="92">
        <v>4</v>
      </c>
      <c r="L43" s="92">
        <v>4</v>
      </c>
      <c r="M43" s="92">
        <v>4</v>
      </c>
      <c r="N43" s="92">
        <v>4</v>
      </c>
      <c r="O43" s="92">
        <v>4</v>
      </c>
      <c r="P43" s="92">
        <v>4</v>
      </c>
      <c r="Q43" s="92">
        <v>4</v>
      </c>
      <c r="R43" s="92">
        <v>4</v>
      </c>
      <c r="S43" s="92">
        <v>4</v>
      </c>
      <c r="T43" s="92">
        <v>4</v>
      </c>
      <c r="U43" s="92">
        <v>4</v>
      </c>
      <c r="V43" s="92">
        <v>4</v>
      </c>
      <c r="W43" s="92">
        <v>4</v>
      </c>
      <c r="X43" s="92">
        <v>4</v>
      </c>
      <c r="Y43" s="92">
        <v>4</v>
      </c>
      <c r="Z43" s="92">
        <v>4</v>
      </c>
      <c r="AA43" s="92">
        <v>4</v>
      </c>
      <c r="AB43" s="92">
        <v>4</v>
      </c>
      <c r="AC43" s="92">
        <v>4</v>
      </c>
      <c r="AD43" s="92">
        <v>4</v>
      </c>
      <c r="AE43" s="92">
        <v>4</v>
      </c>
      <c r="AF43" s="92">
        <v>4</v>
      </c>
      <c r="AG43" s="92">
        <v>4</v>
      </c>
      <c r="AH43" s="92"/>
      <c r="AI43" s="92">
        <v>128</v>
      </c>
    </row>
    <row r="44" spans="1:35" x14ac:dyDescent="0.3">
      <c r="A44" s="72" t="s">
        <v>80</v>
      </c>
      <c r="B44" s="92">
        <v>2</v>
      </c>
      <c r="C44" s="92">
        <v>2</v>
      </c>
      <c r="D44" s="92">
        <v>2</v>
      </c>
      <c r="E44" s="92">
        <v>2</v>
      </c>
      <c r="F44" s="92">
        <v>2</v>
      </c>
      <c r="G44" s="92">
        <v>2</v>
      </c>
      <c r="H44" s="92">
        <v>2</v>
      </c>
      <c r="I44" s="92">
        <v>2</v>
      </c>
      <c r="J44" s="92">
        <v>2</v>
      </c>
      <c r="K44" s="92">
        <v>2</v>
      </c>
      <c r="L44" s="92">
        <v>2</v>
      </c>
      <c r="M44" s="92">
        <v>2</v>
      </c>
      <c r="N44" s="92">
        <v>2</v>
      </c>
      <c r="O44" s="92">
        <v>2</v>
      </c>
      <c r="P44" s="92">
        <v>2</v>
      </c>
      <c r="Q44" s="92">
        <v>2</v>
      </c>
      <c r="R44" s="92">
        <v>2</v>
      </c>
      <c r="S44" s="92">
        <v>2</v>
      </c>
      <c r="T44" s="92">
        <v>2</v>
      </c>
      <c r="U44" s="92">
        <v>2</v>
      </c>
      <c r="V44" s="92">
        <v>2</v>
      </c>
      <c r="W44" s="92">
        <v>2</v>
      </c>
      <c r="X44" s="92">
        <v>2</v>
      </c>
      <c r="Y44" s="92">
        <v>2</v>
      </c>
      <c r="Z44" s="92">
        <v>2</v>
      </c>
      <c r="AA44" s="92">
        <v>2</v>
      </c>
      <c r="AB44" s="92">
        <v>2</v>
      </c>
      <c r="AC44" s="92">
        <v>2</v>
      </c>
      <c r="AD44" s="92">
        <v>2</v>
      </c>
      <c r="AE44" s="92">
        <v>2</v>
      </c>
      <c r="AF44" s="92">
        <v>2</v>
      </c>
      <c r="AG44" s="92">
        <v>2</v>
      </c>
      <c r="AH44" s="92"/>
      <c r="AI44" s="92">
        <v>64</v>
      </c>
    </row>
    <row r="45" spans="1:35" x14ac:dyDescent="0.3">
      <c r="A45" s="72" t="s">
        <v>81</v>
      </c>
      <c r="B45" s="92">
        <v>2</v>
      </c>
      <c r="C45" s="92">
        <v>2</v>
      </c>
      <c r="D45" s="92">
        <v>2</v>
      </c>
      <c r="E45" s="92">
        <v>2</v>
      </c>
      <c r="F45" s="92">
        <v>2</v>
      </c>
      <c r="G45" s="92">
        <v>2</v>
      </c>
      <c r="H45" s="92">
        <v>2</v>
      </c>
      <c r="I45" s="92">
        <v>2</v>
      </c>
      <c r="J45" s="92">
        <v>2</v>
      </c>
      <c r="K45" s="92">
        <v>2</v>
      </c>
      <c r="L45" s="92">
        <v>2</v>
      </c>
      <c r="M45" s="92">
        <v>2</v>
      </c>
      <c r="N45" s="92">
        <v>2</v>
      </c>
      <c r="O45" s="92">
        <v>2</v>
      </c>
      <c r="P45" s="92">
        <v>2</v>
      </c>
      <c r="Q45" s="92">
        <v>2</v>
      </c>
      <c r="R45" s="92">
        <v>2</v>
      </c>
      <c r="S45" s="92">
        <v>2</v>
      </c>
      <c r="T45" s="92">
        <v>2</v>
      </c>
      <c r="U45" s="92">
        <v>2</v>
      </c>
      <c r="V45" s="92">
        <v>2</v>
      </c>
      <c r="W45" s="92">
        <v>2</v>
      </c>
      <c r="X45" s="92">
        <v>2</v>
      </c>
      <c r="Y45" s="92">
        <v>2</v>
      </c>
      <c r="Z45" s="92">
        <v>2</v>
      </c>
      <c r="AA45" s="92">
        <v>2</v>
      </c>
      <c r="AB45" s="92">
        <v>2</v>
      </c>
      <c r="AC45" s="92">
        <v>2</v>
      </c>
      <c r="AD45" s="92">
        <v>2</v>
      </c>
      <c r="AE45" s="92">
        <v>2</v>
      </c>
      <c r="AF45" s="92">
        <v>2</v>
      </c>
      <c r="AG45" s="92">
        <v>2</v>
      </c>
      <c r="AH45" s="92"/>
      <c r="AI45" s="92">
        <v>64</v>
      </c>
    </row>
    <row r="46" spans="1:35" x14ac:dyDescent="0.3">
      <c r="A46" s="71" t="s">
        <v>144</v>
      </c>
      <c r="B46" s="92">
        <v>12</v>
      </c>
      <c r="C46" s="92">
        <v>13</v>
      </c>
      <c r="D46" s="92">
        <v>13</v>
      </c>
      <c r="E46" s="92">
        <v>12</v>
      </c>
      <c r="F46" s="92">
        <v>13</v>
      </c>
      <c r="G46" s="92">
        <v>13</v>
      </c>
      <c r="H46" s="92">
        <v>13</v>
      </c>
      <c r="I46" s="92">
        <v>13</v>
      </c>
      <c r="J46" s="92">
        <v>13</v>
      </c>
      <c r="K46" s="92">
        <v>13</v>
      </c>
      <c r="L46" s="92">
        <v>13</v>
      </c>
      <c r="M46" s="92">
        <v>13</v>
      </c>
      <c r="N46" s="92">
        <v>14</v>
      </c>
      <c r="O46" s="92">
        <v>14</v>
      </c>
      <c r="P46" s="92">
        <v>12</v>
      </c>
      <c r="Q46" s="92">
        <v>14</v>
      </c>
      <c r="R46" s="92">
        <v>13</v>
      </c>
      <c r="S46" s="92">
        <v>12</v>
      </c>
      <c r="T46" s="92">
        <v>12</v>
      </c>
      <c r="U46" s="92">
        <v>12</v>
      </c>
      <c r="V46" s="92">
        <v>13</v>
      </c>
      <c r="W46" s="92">
        <v>12</v>
      </c>
      <c r="X46" s="92">
        <v>13</v>
      </c>
      <c r="Y46" s="92">
        <v>13</v>
      </c>
      <c r="Z46" s="92">
        <v>12</v>
      </c>
      <c r="AA46" s="92">
        <v>12</v>
      </c>
      <c r="AB46" s="92">
        <v>12</v>
      </c>
      <c r="AC46" s="92">
        <v>12</v>
      </c>
      <c r="AD46" s="92">
        <v>13</v>
      </c>
      <c r="AE46" s="92">
        <v>12</v>
      </c>
      <c r="AF46" s="92">
        <v>13</v>
      </c>
      <c r="AG46" s="92">
        <v>13</v>
      </c>
      <c r="AH46" s="92"/>
      <c r="AI46" s="92">
        <v>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Sheet2</vt:lpstr>
      <vt:lpstr>Sheet6</vt:lpstr>
      <vt:lpstr>Sheet3</vt:lpstr>
      <vt:lpstr>Sheet4</vt:lpstr>
      <vt:lpstr>List1</vt:lpstr>
      <vt:lpstr>List2</vt:lpstr>
      <vt:lpstr>List3</vt:lpstr>
      <vt:lpstr>List4</vt:lpstr>
      <vt:lpstr>22.06_NT_fillers</vt:lpstr>
      <vt:lpstr>Prev_mod_sameSPEAK_prev_not_T</vt:lpstr>
      <vt:lpstr>Prev_mod_sameTYPE_prev_not T</vt:lpstr>
      <vt:lpstr>Prev_mod_difTYPE_prev_not T</vt:lpstr>
      <vt:lpstr>Prev_mod_difSPEAK_prev_not T</vt:lpstr>
      <vt:lpstr>Sheet38</vt:lpstr>
      <vt:lpstr>List_05.07.023</vt:lpstr>
      <vt:lpstr>Pivot_Tables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Katerina Tsaroucha</dc:creator>
  <cp:lastModifiedBy>Katerina Tsaroucha</cp:lastModifiedBy>
  <cp:lastPrinted>2023-06-06T11:46:44Z</cp:lastPrinted>
  <dcterms:created xsi:type="dcterms:W3CDTF">2023-03-31T13:21:22Z</dcterms:created>
  <dcterms:modified xsi:type="dcterms:W3CDTF">2023-07-05T11:00:39Z</dcterms:modified>
</cp:coreProperties>
</file>